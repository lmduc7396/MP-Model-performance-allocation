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5c776d51af9edc4/Work-related/MP Model performance allocation/"/>
    </mc:Choice>
  </mc:AlternateContent>
  <xr:revisionPtr revIDLastSave="117" documentId="8_{98577ABB-0A8E-4528-A698-1126F01A003D}" xr6:coauthVersionLast="47" xr6:coauthVersionMax="47" xr10:uidLastSave="{70563EB7-1BFB-4572-89A0-97B7CEDBFD86}"/>
  <bookViews>
    <workbookView xWindow="-105" yWindow="0" windowWidth="26010" windowHeight="20985" xr2:uid="{00000000-000D-0000-FFFF-FFFF00000000}"/>
  </bookViews>
  <sheets>
    <sheet name="All" sheetId="1" r:id="rId1"/>
    <sheet name="Stock On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D74" i="1"/>
  <c r="C74" i="1"/>
</calcChain>
</file>

<file path=xl/sharedStrings.xml><?xml version="1.0" encoding="utf-8"?>
<sst xmlns="http://schemas.openxmlformats.org/spreadsheetml/2006/main" count="554" uniqueCount="103">
  <si>
    <t>Ticker</t>
  </si>
  <si>
    <t>DC Uni. Beta</t>
  </si>
  <si>
    <t>VNI</t>
  </si>
  <si>
    <t>RT Big Port</t>
  </si>
  <si>
    <t>VEIL</t>
  </si>
  <si>
    <t>VEIL Active Weight (%)</t>
  </si>
  <si>
    <t>NBIM</t>
  </si>
  <si>
    <t>NBIM Active Weight (%)</t>
  </si>
  <si>
    <t>VFMVSF</t>
  </si>
  <si>
    <t>VFMVSF Active Weight (%)</t>
  </si>
  <si>
    <t>DCVEUF</t>
  </si>
  <si>
    <t>DCVEUF Active Weight (%)</t>
  </si>
  <si>
    <t>TSK</t>
  </si>
  <si>
    <t>TSK Active Weight (%)</t>
  </si>
  <si>
    <t>TSK Non-LT</t>
  </si>
  <si>
    <t>TSK Non-LT Active Weight (%)</t>
  </si>
  <si>
    <t>DC25</t>
  </si>
  <si>
    <t>DC25 Active Weight (%)</t>
  </si>
  <si>
    <t>VCB</t>
  </si>
  <si>
    <t>ACB</t>
  </si>
  <si>
    <t>CTG</t>
  </si>
  <si>
    <t>BID</t>
  </si>
  <si>
    <t>TCB</t>
  </si>
  <si>
    <t>MBB</t>
  </si>
  <si>
    <t>VPB</t>
  </si>
  <si>
    <t>STB</t>
  </si>
  <si>
    <t>TPB</t>
  </si>
  <si>
    <t/>
  </si>
  <si>
    <t>HDB</t>
  </si>
  <si>
    <t>MSB</t>
  </si>
  <si>
    <t>SSI</t>
  </si>
  <si>
    <t>VCI</t>
  </si>
  <si>
    <t>MBS</t>
  </si>
  <si>
    <t>SHS</t>
  </si>
  <si>
    <t>VDS</t>
  </si>
  <si>
    <t>BSI</t>
  </si>
  <si>
    <t>ACV</t>
  </si>
  <si>
    <t>GMD</t>
  </si>
  <si>
    <t>HVN</t>
  </si>
  <si>
    <t>VHM</t>
  </si>
  <si>
    <t>KDH</t>
  </si>
  <si>
    <t>DXG</t>
  </si>
  <si>
    <t>PDR</t>
  </si>
  <si>
    <t>NLG</t>
  </si>
  <si>
    <t>TCH</t>
  </si>
  <si>
    <t>DXS</t>
  </si>
  <si>
    <t>HTD</t>
  </si>
  <si>
    <t>VRE</t>
  </si>
  <si>
    <t>VCG</t>
  </si>
  <si>
    <t>IDC</t>
  </si>
  <si>
    <t>KBC</t>
  </si>
  <si>
    <t>BCM</t>
  </si>
  <si>
    <t>VGC</t>
  </si>
  <si>
    <t>HPG</t>
  </si>
  <si>
    <t>HSG</t>
  </si>
  <si>
    <t>DGC</t>
  </si>
  <si>
    <t>DCM</t>
  </si>
  <si>
    <t>DPM</t>
  </si>
  <si>
    <t>PTB</t>
  </si>
  <si>
    <t>FPT</t>
  </si>
  <si>
    <t>MWG</t>
  </si>
  <si>
    <t>PNJ</t>
  </si>
  <si>
    <t>FRT</t>
  </si>
  <si>
    <t>DRC</t>
  </si>
  <si>
    <t>CASPER-PE</t>
  </si>
  <si>
    <t>GAS</t>
  </si>
  <si>
    <t>PVD</t>
  </si>
  <si>
    <t>PVS</t>
  </si>
  <si>
    <t>PLX</t>
  </si>
  <si>
    <t>OIL</t>
  </si>
  <si>
    <t>VNM</t>
  </si>
  <si>
    <t>SAB</t>
  </si>
  <si>
    <t>MCH</t>
  </si>
  <si>
    <t>VHC</t>
  </si>
  <si>
    <t>MSN</t>
  </si>
  <si>
    <t>HDG</t>
  </si>
  <si>
    <t>VIC</t>
  </si>
  <si>
    <t>GEX</t>
  </si>
  <si>
    <t>POW</t>
  </si>
  <si>
    <t>Net Cash</t>
  </si>
  <si>
    <t>Loan</t>
  </si>
  <si>
    <t>Cash, Receivables &amp; Payables</t>
  </si>
  <si>
    <t>31/12/2024</t>
  </si>
  <si>
    <t>31/03/2025</t>
  </si>
  <si>
    <t>EIB</t>
  </si>
  <si>
    <t>VIB</t>
  </si>
  <si>
    <t>CTR</t>
  </si>
  <si>
    <t>HHV</t>
  </si>
  <si>
    <t>DPG</t>
  </si>
  <si>
    <t>ELC</t>
  </si>
  <si>
    <t>PC1</t>
  </si>
  <si>
    <t>VND</t>
  </si>
  <si>
    <t>VIX</t>
  </si>
  <si>
    <t>BVH</t>
  </si>
  <si>
    <t>TAL</t>
  </si>
  <si>
    <t>NVL</t>
  </si>
  <si>
    <t>HDC</t>
  </si>
  <si>
    <t>DIG</t>
  </si>
  <si>
    <t>FCN</t>
  </si>
  <si>
    <t>DBC</t>
  </si>
  <si>
    <t>30/09/2025</t>
  </si>
  <si>
    <t>TCX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</si>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</sst>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#,##0.00"/>
    <numFmt numFmtId="167" formatCode="_(* #,##0.0_);_(* \(#,##0.0\);_(* &quot;-&quot;??_);_(@_)"/>
    <numFmt numFmtId="169" formatCode="_(* #,##0.000_);_(* \(#,##0.000\);_(* &quot;-&quot;??_);_(@_)"/>
  </numFmts>
  <fonts count="16" x14ac:knownFonts="1">
    <font>
      <sz val="11"/>
      <name val="Calibri"/>
    </font>
    <font>
      <sz val="11"/>
      <name val="Calibri"/>
    </font>
    <font>
      <b/>
      <sz val="12"/>
      <color rgb="FFFFFFFF"/>
      <name val="Manrope"/>
    </font>
    <font>
      <b/>
      <sz val="12"/>
      <color rgb="FFFFFFFF"/>
      <name val="Manrope"/>
    </font>
    <font>
      <b/>
      <sz val="12"/>
      <color rgb="FF006C5B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b/>
      <sz val="12"/>
      <name val="Manrope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D68"/>
      </patternFill>
    </fill>
    <fill>
      <patternFill patternType="solid">
        <fgColor rgb="FF007D6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rgb="FF00000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rgb="FF000000"/>
      </right>
      <top/>
      <bottom style="hair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right" vertical="center"/>
    </xf>
    <xf numFmtId="164" fontId="12" fillId="0" borderId="12" xfId="0" applyNumberFormat="1" applyFont="1" applyBorder="1" applyAlignment="1">
      <alignment horizontal="right" vertical="center"/>
    </xf>
    <xf numFmtId="164" fontId="13" fillId="0" borderId="13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5" fillId="0" borderId="8" xfId="0" applyFont="1" applyBorder="1" applyAlignment="1">
      <alignment horizontal="left" vertical="center"/>
    </xf>
    <xf numFmtId="167" fontId="4" fillId="0" borderId="4" xfId="1" applyNumberFormat="1" applyFont="1" applyBorder="1"/>
    <xf numFmtId="167" fontId="5" fillId="0" borderId="8" xfId="1" applyNumberFormat="1" applyFont="1" applyBorder="1" applyAlignment="1">
      <alignment horizontal="right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0" fontId="5" fillId="0" borderId="1" xfId="0" applyFont="1" applyFill="1" applyBorder="1" applyAlignment="1">
      <alignment horizontal="left" vertical="center"/>
    </xf>
    <xf numFmtId="167" fontId="5" fillId="0" borderId="1" xfId="1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left" vertical="center"/>
    </xf>
    <xf numFmtId="169" fontId="15" fillId="0" borderId="0" xfId="0" applyNumberFormat="1" applyFont="1"/>
    <xf numFmtId="167" fontId="15" fillId="0" borderId="0" xfId="0" applyNumberFormat="1" applyFont="1"/>
  </cellXfs>
  <cellStyles count="6">
    <cellStyle name="Comma" xfId="1" builtinId="3"/>
    <cellStyle name="Normal" xfId="0" builtinId="0"/>
    <cellStyle name="Normal 2" xfId="2" xr:uid="{CF4EB1C1-9B0C-43BB-8472-996C5B72CE0A}"/>
    <cellStyle name="Normal 3" xfId="3" xr:uid="{0852B6CB-1176-41CB-8F53-F972AC7E5A98}"/>
    <cellStyle name="Normal 4" xfId="4" xr:uid="{2FED63D1-1751-4272-A675-8D60626352C5}"/>
    <cellStyle name="Normal 5" xfId="5" xr:uid="{5F6169CB-CC6B-443D-964F-34EDC3CDE0E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35.85546875" customWidth="1"/>
    <col min="2" max="5" width="19.140625" customWidth="1"/>
    <col min="8" max="8" width="35.85546875" customWidth="1"/>
    <col min="9" max="9" width="20.85546875" customWidth="1"/>
  </cols>
  <sheetData>
    <row r="1" spans="1:5" ht="50.1" customHeight="1" thickBot="1" x14ac:dyDescent="0.3">
      <c r="A1" s="12" t="s">
        <v>0</v>
      </c>
      <c r="B1" s="1" t="s">
        <v>82</v>
      </c>
      <c r="C1" s="1" t="s">
        <v>83</v>
      </c>
      <c r="D1" s="1" t="s">
        <v>100</v>
      </c>
      <c r="E1" s="17">
        <v>45727</v>
      </c>
    </row>
    <row r="2" spans="1:5" ht="18" x14ac:dyDescent="0.25">
      <c r="A2" s="14" t="s">
        <v>22</v>
      </c>
      <c r="B2" s="16">
        <v>4.2030675000000004</v>
      </c>
      <c r="C2" s="16">
        <v>4.7621485200000002</v>
      </c>
      <c r="D2" s="16">
        <v>6.30287445</v>
      </c>
      <c r="E2" s="16">
        <v>5.6462180100000001</v>
      </c>
    </row>
    <row r="3" spans="1:5" ht="18" x14ac:dyDescent="0.25">
      <c r="A3" s="14" t="s">
        <v>24</v>
      </c>
      <c r="B3" s="16">
        <v>3.93029735</v>
      </c>
      <c r="C3" s="16">
        <v>3.9874301600000002</v>
      </c>
      <c r="D3" s="16">
        <v>5.7931344999999999</v>
      </c>
      <c r="E3" s="16">
        <v>5.5651726100000003</v>
      </c>
    </row>
    <row r="4" spans="1:5" ht="18" x14ac:dyDescent="0.25">
      <c r="A4" s="14" t="s">
        <v>20</v>
      </c>
      <c r="B4" s="16">
        <v>4.7797594200000004</v>
      </c>
      <c r="C4" s="16">
        <v>4.4924423600000001</v>
      </c>
      <c r="D4" s="16">
        <v>5.5611766899999999</v>
      </c>
      <c r="E4" s="16">
        <v>4.8624155199999999</v>
      </c>
    </row>
    <row r="5" spans="1:5" ht="18" x14ac:dyDescent="0.25">
      <c r="A5" s="14" t="s">
        <v>18</v>
      </c>
      <c r="B5" s="16">
        <v>9.11135245</v>
      </c>
      <c r="C5" s="16">
        <v>9.2973473000000002</v>
      </c>
      <c r="D5" s="16">
        <v>4.9063352</v>
      </c>
      <c r="E5" s="16">
        <v>5.1327267599999997</v>
      </c>
    </row>
    <row r="6" spans="1:5" ht="18" x14ac:dyDescent="0.25">
      <c r="A6" s="14" t="s">
        <v>23</v>
      </c>
      <c r="B6" s="16">
        <v>4.1060444900000004</v>
      </c>
      <c r="C6" s="16">
        <v>4.2092011400000002</v>
      </c>
      <c r="D6" s="16">
        <v>4.5224590300000003</v>
      </c>
      <c r="E6" s="16">
        <v>4.3289532700000004</v>
      </c>
    </row>
    <row r="7" spans="1:5" ht="18" x14ac:dyDescent="0.25">
      <c r="A7" s="14" t="s">
        <v>21</v>
      </c>
      <c r="B7" s="16">
        <v>4.4019170599999997</v>
      </c>
      <c r="C7" s="16">
        <v>4.2899182800000002</v>
      </c>
      <c r="D7" s="16">
        <v>3.5421346800000002</v>
      </c>
      <c r="E7" s="16">
        <v>3.5279061999999999</v>
      </c>
    </row>
    <row r="8" spans="1:5" ht="18" x14ac:dyDescent="0.25">
      <c r="A8" s="19" t="s">
        <v>26</v>
      </c>
      <c r="B8" s="16">
        <v>0.99586403999999995</v>
      </c>
      <c r="C8" s="16">
        <v>0.83931886</v>
      </c>
      <c r="D8" s="20">
        <v>0</v>
      </c>
      <c r="E8" s="16">
        <v>0.99636252999999997</v>
      </c>
    </row>
    <row r="9" spans="1:5" ht="18" x14ac:dyDescent="0.25">
      <c r="A9" s="14" t="s">
        <v>25</v>
      </c>
      <c r="B9" s="16">
        <v>2.9246797999999998</v>
      </c>
      <c r="C9" s="16">
        <v>2.67026655</v>
      </c>
      <c r="D9" s="16">
        <v>3.3622721200000001</v>
      </c>
      <c r="E9" s="16">
        <v>3.25537711</v>
      </c>
    </row>
    <row r="10" spans="1:5" ht="18" x14ac:dyDescent="0.25">
      <c r="A10" s="14" t="s">
        <v>19</v>
      </c>
      <c r="B10" s="16">
        <v>5.0388266899999996</v>
      </c>
      <c r="C10" s="16">
        <v>4.4849438299999997</v>
      </c>
      <c r="D10" s="16">
        <v>2.7857839599999998</v>
      </c>
      <c r="E10" s="16">
        <v>2.99860696</v>
      </c>
    </row>
    <row r="11" spans="1:5" ht="18" x14ac:dyDescent="0.25">
      <c r="A11" s="14" t="s">
        <v>28</v>
      </c>
      <c r="B11" s="16" t="s">
        <v>27</v>
      </c>
      <c r="C11" s="16">
        <v>1.35096145</v>
      </c>
      <c r="D11" s="16">
        <v>2.2027753200000002</v>
      </c>
      <c r="E11" s="16">
        <v>2.7800095499999999</v>
      </c>
    </row>
    <row r="12" spans="1:5" ht="18" x14ac:dyDescent="0.25">
      <c r="A12" s="14" t="s">
        <v>84</v>
      </c>
      <c r="B12" s="16">
        <v>0</v>
      </c>
      <c r="C12" s="16">
        <v>0</v>
      </c>
      <c r="D12" s="16">
        <v>1.02051772</v>
      </c>
      <c r="E12" s="16">
        <v>0</v>
      </c>
    </row>
    <row r="13" spans="1:5" ht="18" x14ac:dyDescent="0.25">
      <c r="A13" s="14" t="s">
        <v>85</v>
      </c>
      <c r="B13" s="16">
        <v>0</v>
      </c>
      <c r="C13" s="16">
        <v>0</v>
      </c>
      <c r="D13" s="16">
        <v>0</v>
      </c>
      <c r="E13" s="16">
        <v>0</v>
      </c>
    </row>
    <row r="14" spans="1:5" ht="18" x14ac:dyDescent="0.25">
      <c r="A14" s="14" t="s">
        <v>31</v>
      </c>
      <c r="B14" s="16">
        <v>0.96278638000000005</v>
      </c>
      <c r="C14" s="16">
        <v>1.06549158</v>
      </c>
      <c r="D14" s="16">
        <v>1.02737477</v>
      </c>
      <c r="E14" s="16">
        <v>0.88921620999999995</v>
      </c>
    </row>
    <row r="15" spans="1:5" ht="18" x14ac:dyDescent="0.25">
      <c r="A15" s="14" t="s">
        <v>91</v>
      </c>
      <c r="B15" s="16">
        <v>0</v>
      </c>
      <c r="C15" s="16">
        <v>0</v>
      </c>
      <c r="D15" s="16">
        <v>0.99455733999999996</v>
      </c>
      <c r="E15" s="16">
        <v>0.86640782000000005</v>
      </c>
    </row>
    <row r="16" spans="1:5" ht="18" x14ac:dyDescent="0.25">
      <c r="A16" s="19" t="s">
        <v>101</v>
      </c>
      <c r="B16" s="16">
        <v>0</v>
      </c>
      <c r="E16" s="16">
        <v>1.4614802</v>
      </c>
    </row>
    <row r="17" spans="1:5" ht="18" x14ac:dyDescent="0.25">
      <c r="A17" s="14" t="s">
        <v>30</v>
      </c>
      <c r="B17" s="16">
        <v>2.0518104899999998</v>
      </c>
      <c r="C17" s="16">
        <v>2.0570942300000001</v>
      </c>
      <c r="D17" s="16">
        <v>0.98722109999999996</v>
      </c>
      <c r="E17" s="16">
        <v>0.88366703000000002</v>
      </c>
    </row>
    <row r="18" spans="1:5" ht="18" x14ac:dyDescent="0.25">
      <c r="A18" s="14" t="s">
        <v>32</v>
      </c>
      <c r="B18" s="16">
        <v>0.82009911999999996</v>
      </c>
      <c r="C18" s="16">
        <v>0.85402829000000002</v>
      </c>
      <c r="D18" s="16">
        <v>0.85976569999999997</v>
      </c>
      <c r="E18" s="16">
        <v>0</v>
      </c>
    </row>
    <row r="19" spans="1:5" ht="18" x14ac:dyDescent="0.25">
      <c r="A19" s="14" t="s">
        <v>33</v>
      </c>
      <c r="B19" s="16">
        <v>0.74238950000000004</v>
      </c>
      <c r="C19" s="16">
        <v>0.81379551999999999</v>
      </c>
      <c r="D19" s="16">
        <v>0.83367150000000001</v>
      </c>
      <c r="E19" s="16">
        <v>0.67773547000000001</v>
      </c>
    </row>
    <row r="20" spans="1:5" ht="18" x14ac:dyDescent="0.25">
      <c r="A20" s="14" t="s">
        <v>92</v>
      </c>
      <c r="B20" s="16">
        <v>0</v>
      </c>
      <c r="C20" s="16">
        <v>0</v>
      </c>
      <c r="D20" s="16">
        <v>0.78392786000000003</v>
      </c>
      <c r="E20" s="16" t="s">
        <v>27</v>
      </c>
    </row>
    <row r="21" spans="1:5" ht="18" x14ac:dyDescent="0.25">
      <c r="A21" s="14" t="s">
        <v>35</v>
      </c>
      <c r="B21" s="16" t="s">
        <v>27</v>
      </c>
      <c r="C21" s="16" t="s">
        <v>27</v>
      </c>
      <c r="D21" s="16" t="s">
        <v>27</v>
      </c>
      <c r="E21" s="16" t="s">
        <v>27</v>
      </c>
    </row>
    <row r="22" spans="1:5" ht="18" x14ac:dyDescent="0.25">
      <c r="A22" s="14" t="s">
        <v>93</v>
      </c>
      <c r="B22" s="16">
        <v>0</v>
      </c>
      <c r="C22" s="16">
        <v>0</v>
      </c>
      <c r="D22" s="16">
        <v>0.76834077999999995</v>
      </c>
      <c r="E22" s="16">
        <v>0.87530361000000001</v>
      </c>
    </row>
    <row r="23" spans="1:5" ht="18" x14ac:dyDescent="0.25">
      <c r="A23" s="14" t="s">
        <v>39</v>
      </c>
      <c r="B23" s="16">
        <v>3.2837770800000001</v>
      </c>
      <c r="C23" s="16">
        <v>3.9228142699999999</v>
      </c>
      <c r="D23" s="16">
        <v>7.6183797799999997</v>
      </c>
      <c r="E23" s="16">
        <v>8.3400867999999999</v>
      </c>
    </row>
    <row r="24" spans="1:5" ht="18" x14ac:dyDescent="0.25">
      <c r="A24" s="14" t="s">
        <v>41</v>
      </c>
      <c r="B24" s="16">
        <v>1.81507463</v>
      </c>
      <c r="C24" s="16">
        <v>2.1405485299999998</v>
      </c>
      <c r="D24" s="16">
        <v>2.2469278500000001</v>
      </c>
      <c r="E24" s="16">
        <v>2.1146843099999999</v>
      </c>
    </row>
    <row r="25" spans="1:5" ht="18" x14ac:dyDescent="0.25">
      <c r="A25" s="14" t="s">
        <v>44</v>
      </c>
      <c r="B25" s="16">
        <v>0.76558917000000004</v>
      </c>
      <c r="C25" s="16">
        <v>1.72832787</v>
      </c>
      <c r="D25" s="16">
        <v>1.5451467999999999</v>
      </c>
      <c r="E25" s="16">
        <v>1.43638865</v>
      </c>
    </row>
    <row r="26" spans="1:5" ht="18" x14ac:dyDescent="0.25">
      <c r="A26" s="19" t="s">
        <v>42</v>
      </c>
      <c r="B26" s="16">
        <v>0.97825282999999996</v>
      </c>
      <c r="C26" s="16">
        <v>1.00193248</v>
      </c>
      <c r="E26" s="16">
        <v>0</v>
      </c>
    </row>
    <row r="27" spans="1:5" ht="18" x14ac:dyDescent="0.25">
      <c r="A27" s="19" t="s">
        <v>88</v>
      </c>
      <c r="B27" s="16">
        <v>0</v>
      </c>
      <c r="C27" s="16">
        <v>0.44444994999999998</v>
      </c>
      <c r="E27" s="16">
        <v>0</v>
      </c>
    </row>
    <row r="28" spans="1:5" ht="18" x14ac:dyDescent="0.25">
      <c r="A28" s="14" t="s">
        <v>47</v>
      </c>
      <c r="B28" s="16" t="s">
        <v>27</v>
      </c>
      <c r="C28" s="16" t="s">
        <v>27</v>
      </c>
      <c r="D28" s="16">
        <v>1.09370389</v>
      </c>
      <c r="E28" s="16">
        <v>1.10711954</v>
      </c>
    </row>
    <row r="29" spans="1:5" ht="18" x14ac:dyDescent="0.25">
      <c r="A29" s="14" t="s">
        <v>94</v>
      </c>
      <c r="B29" s="16">
        <v>0</v>
      </c>
      <c r="C29" s="16">
        <v>0</v>
      </c>
      <c r="D29" s="16">
        <v>1.08385405</v>
      </c>
      <c r="E29" s="16">
        <v>0.99010445000000002</v>
      </c>
    </row>
    <row r="30" spans="1:5" ht="18" x14ac:dyDescent="0.25">
      <c r="A30" s="14" t="s">
        <v>40</v>
      </c>
      <c r="B30" s="16">
        <v>2.11946082</v>
      </c>
      <c r="C30" s="16">
        <v>1.9049332999999999</v>
      </c>
      <c r="D30" s="16">
        <v>0.97549487999999995</v>
      </c>
      <c r="E30" s="16">
        <v>1.0979985400000001</v>
      </c>
    </row>
    <row r="31" spans="1:5" ht="18" x14ac:dyDescent="0.25">
      <c r="A31" s="14" t="s">
        <v>95</v>
      </c>
      <c r="B31" s="16">
        <v>0</v>
      </c>
      <c r="C31" s="16">
        <v>0</v>
      </c>
      <c r="D31" s="16">
        <v>0.95925143000000002</v>
      </c>
      <c r="E31" s="16">
        <v>0.86259677000000001</v>
      </c>
    </row>
    <row r="32" spans="1:5" ht="18" x14ac:dyDescent="0.25">
      <c r="A32" s="14" t="s">
        <v>48</v>
      </c>
      <c r="B32" s="16" t="s">
        <v>27</v>
      </c>
      <c r="C32" s="16">
        <v>0.39834223000000002</v>
      </c>
      <c r="D32" s="16">
        <v>0.40343001000000001</v>
      </c>
      <c r="E32" s="16">
        <v>0.38156909999999999</v>
      </c>
    </row>
    <row r="33" spans="1:5" ht="18" x14ac:dyDescent="0.25">
      <c r="A33" s="14" t="s">
        <v>46</v>
      </c>
      <c r="B33" s="16" t="s">
        <v>27</v>
      </c>
      <c r="C33" s="16" t="s">
        <v>27</v>
      </c>
      <c r="D33" s="16" t="s">
        <v>27</v>
      </c>
      <c r="E33" s="16" t="s">
        <v>27</v>
      </c>
    </row>
    <row r="34" spans="1:5" ht="18" x14ac:dyDescent="0.25">
      <c r="A34" s="14" t="s">
        <v>45</v>
      </c>
      <c r="B34" s="16" t="s">
        <v>27</v>
      </c>
      <c r="C34" s="16" t="s">
        <v>27</v>
      </c>
      <c r="D34" s="16" t="s">
        <v>27</v>
      </c>
      <c r="E34" s="16" t="s">
        <v>27</v>
      </c>
    </row>
    <row r="35" spans="1:5" ht="18" x14ac:dyDescent="0.25">
      <c r="A35" s="14" t="s">
        <v>43</v>
      </c>
      <c r="B35" s="16">
        <v>0.94534744000000004</v>
      </c>
      <c r="C35" s="16">
        <v>1.0685434</v>
      </c>
      <c r="D35" s="16" t="s">
        <v>27</v>
      </c>
      <c r="E35" s="16" t="s">
        <v>27</v>
      </c>
    </row>
    <row r="36" spans="1:5" ht="18" x14ac:dyDescent="0.25">
      <c r="A36" s="14" t="s">
        <v>96</v>
      </c>
      <c r="B36" s="16">
        <v>0</v>
      </c>
      <c r="C36" s="16">
        <v>0</v>
      </c>
      <c r="D36" s="16" t="s">
        <v>27</v>
      </c>
      <c r="E36" s="16" t="s">
        <v>27</v>
      </c>
    </row>
    <row r="37" spans="1:5" ht="18" x14ac:dyDescent="0.25">
      <c r="A37" s="14" t="s">
        <v>97</v>
      </c>
      <c r="B37" s="16">
        <v>0</v>
      </c>
      <c r="C37" s="16">
        <v>0</v>
      </c>
      <c r="D37" s="16" t="s">
        <v>27</v>
      </c>
      <c r="E37" s="16" t="s">
        <v>27</v>
      </c>
    </row>
    <row r="38" spans="1:5" ht="18" x14ac:dyDescent="0.25">
      <c r="A38" s="14" t="s">
        <v>50</v>
      </c>
      <c r="B38" s="16">
        <v>0.94311710000000004</v>
      </c>
      <c r="C38" s="16">
        <v>1.02928592</v>
      </c>
      <c r="D38" s="16">
        <v>0.95999296000000001</v>
      </c>
      <c r="E38" s="16">
        <v>0.99073672999999995</v>
      </c>
    </row>
    <row r="39" spans="1:5" ht="18" x14ac:dyDescent="0.25">
      <c r="A39" s="14" t="s">
        <v>51</v>
      </c>
      <c r="B39" s="16">
        <v>0.90102755000000001</v>
      </c>
      <c r="C39" s="16">
        <v>0.8478656</v>
      </c>
      <c r="D39" s="16">
        <v>0.53331936000000002</v>
      </c>
      <c r="E39" s="16">
        <v>0.54507293000000001</v>
      </c>
    </row>
    <row r="40" spans="1:5" ht="18" x14ac:dyDescent="0.25">
      <c r="A40" s="14" t="s">
        <v>49</v>
      </c>
      <c r="B40" s="16">
        <v>1.21783877</v>
      </c>
      <c r="C40" s="16">
        <v>0.99636811999999997</v>
      </c>
      <c r="D40" s="16" t="s">
        <v>27</v>
      </c>
      <c r="E40" s="16">
        <v>0</v>
      </c>
    </row>
    <row r="41" spans="1:5" ht="18" x14ac:dyDescent="0.25">
      <c r="A41" s="14" t="s">
        <v>52</v>
      </c>
      <c r="B41" s="16" t="s">
        <v>27</v>
      </c>
      <c r="C41" s="16" t="s">
        <v>27</v>
      </c>
      <c r="D41" s="16" t="s">
        <v>27</v>
      </c>
      <c r="E41" s="16" t="s">
        <v>27</v>
      </c>
    </row>
    <row r="42" spans="1:5" ht="18" x14ac:dyDescent="0.25">
      <c r="A42" s="14" t="s">
        <v>37</v>
      </c>
      <c r="B42" s="16">
        <v>0.96587487999999999</v>
      </c>
      <c r="C42" s="16">
        <v>0.92768006000000003</v>
      </c>
      <c r="D42" s="16">
        <v>0.93710311999999996</v>
      </c>
      <c r="E42" s="16">
        <v>1.0015581600000001</v>
      </c>
    </row>
    <row r="43" spans="1:5" ht="18" x14ac:dyDescent="0.25">
      <c r="A43" s="14" t="s">
        <v>38</v>
      </c>
      <c r="B43" s="16">
        <v>0.85680193999999998</v>
      </c>
      <c r="C43" s="16">
        <v>1.30372858</v>
      </c>
      <c r="D43" s="16">
        <v>0.73267939000000004</v>
      </c>
      <c r="E43" s="16" t="s">
        <v>27</v>
      </c>
    </row>
    <row r="44" spans="1:5" ht="18" x14ac:dyDescent="0.25">
      <c r="A44" s="14" t="s">
        <v>36</v>
      </c>
      <c r="B44" s="16">
        <v>1.0040382999999999</v>
      </c>
      <c r="C44" s="16">
        <v>0.91675817999999998</v>
      </c>
      <c r="D44" s="16" t="s">
        <v>27</v>
      </c>
      <c r="E44" s="16">
        <v>0</v>
      </c>
    </row>
    <row r="45" spans="1:5" ht="18" x14ac:dyDescent="0.25">
      <c r="A45" s="14" t="s">
        <v>87</v>
      </c>
      <c r="B45" s="16">
        <v>0</v>
      </c>
      <c r="C45" s="16">
        <v>0.37705153000000002</v>
      </c>
      <c r="D45" s="16">
        <v>0.85590115</v>
      </c>
      <c r="E45" s="16">
        <v>0.77358859000000002</v>
      </c>
    </row>
    <row r="46" spans="1:5" ht="18" x14ac:dyDescent="0.25">
      <c r="A46" s="14" t="s">
        <v>86</v>
      </c>
      <c r="B46" s="16">
        <v>0</v>
      </c>
      <c r="C46" s="16">
        <v>0.69890719999999995</v>
      </c>
      <c r="D46" s="16">
        <v>0.58123387000000004</v>
      </c>
      <c r="E46" s="16">
        <v>0.62971474000000005</v>
      </c>
    </row>
    <row r="47" spans="1:5" ht="18" x14ac:dyDescent="0.25">
      <c r="A47" s="14" t="s">
        <v>98</v>
      </c>
      <c r="B47" s="16">
        <v>0</v>
      </c>
      <c r="C47" s="16">
        <v>0</v>
      </c>
      <c r="D47" s="16" t="s">
        <v>27</v>
      </c>
      <c r="E47" s="16" t="s">
        <v>27</v>
      </c>
    </row>
    <row r="48" spans="1:5" ht="18" x14ac:dyDescent="0.25">
      <c r="A48" s="14" t="s">
        <v>53</v>
      </c>
      <c r="B48" s="16">
        <v>4.9425754399999997</v>
      </c>
      <c r="C48" s="16">
        <v>5.0583974500000002</v>
      </c>
      <c r="D48" s="16">
        <v>4.86314563</v>
      </c>
      <c r="E48" s="16">
        <v>4.7619368800000004</v>
      </c>
    </row>
    <row r="49" spans="1:5" ht="18" x14ac:dyDescent="0.25">
      <c r="A49" s="14" t="s">
        <v>54</v>
      </c>
      <c r="B49" s="16">
        <v>0.95182750999999999</v>
      </c>
      <c r="C49" s="16" t="s">
        <v>27</v>
      </c>
      <c r="D49" s="16">
        <v>0.78708491000000003</v>
      </c>
      <c r="E49" s="16">
        <v>0</v>
      </c>
    </row>
    <row r="50" spans="1:5" ht="18" x14ac:dyDescent="0.25">
      <c r="A50" s="14" t="s">
        <v>56</v>
      </c>
      <c r="B50" s="16">
        <v>0.92703994999999995</v>
      </c>
      <c r="C50" s="16">
        <v>0.91429484000000005</v>
      </c>
      <c r="D50" s="16">
        <v>0.99601286</v>
      </c>
      <c r="E50" s="16" t="s">
        <v>27</v>
      </c>
    </row>
    <row r="51" spans="1:5" ht="18" x14ac:dyDescent="0.25">
      <c r="A51" s="14" t="s">
        <v>55</v>
      </c>
      <c r="B51" s="16">
        <v>1.5229360700000001</v>
      </c>
      <c r="C51" s="16">
        <v>0.92404470999999999</v>
      </c>
      <c r="D51" s="16">
        <v>0.93833661000000002</v>
      </c>
      <c r="E51" s="16">
        <v>1.07646167</v>
      </c>
    </row>
    <row r="52" spans="1:5" ht="18" x14ac:dyDescent="0.25">
      <c r="A52" s="14" t="s">
        <v>57</v>
      </c>
      <c r="B52" s="16" t="s">
        <v>27</v>
      </c>
      <c r="C52" s="16" t="s">
        <v>27</v>
      </c>
      <c r="D52" s="16" t="s">
        <v>27</v>
      </c>
      <c r="E52" s="16">
        <v>0</v>
      </c>
    </row>
    <row r="53" spans="1:5" ht="18" x14ac:dyDescent="0.25">
      <c r="A53" s="14" t="s">
        <v>59</v>
      </c>
      <c r="B53" s="16">
        <v>6.0322169399999996</v>
      </c>
      <c r="C53" s="16">
        <v>4.1666957199999999</v>
      </c>
      <c r="D53" s="16">
        <v>2.2883108000000001</v>
      </c>
      <c r="E53" s="16">
        <v>1.8154267900000001</v>
      </c>
    </row>
    <row r="54" spans="1:5" ht="18" x14ac:dyDescent="0.25">
      <c r="A54" s="14" t="s">
        <v>89</v>
      </c>
      <c r="B54" s="16">
        <v>0</v>
      </c>
      <c r="C54" s="16">
        <v>0.37033691000000002</v>
      </c>
      <c r="D54" s="16">
        <v>0.38086466000000002</v>
      </c>
      <c r="E54" s="16">
        <v>0.43773479999999998</v>
      </c>
    </row>
    <row r="55" spans="1:5" ht="18" x14ac:dyDescent="0.25">
      <c r="A55" s="14" t="s">
        <v>60</v>
      </c>
      <c r="B55" s="16">
        <v>4.9555326300000004</v>
      </c>
      <c r="C55" s="16">
        <v>4.8535344</v>
      </c>
      <c r="D55" s="16">
        <v>5.4816270500000002</v>
      </c>
      <c r="E55" s="16">
        <v>6.1719580599999997</v>
      </c>
    </row>
    <row r="56" spans="1:5" ht="18" x14ac:dyDescent="0.25">
      <c r="A56" s="14" t="s">
        <v>62</v>
      </c>
      <c r="B56" s="16">
        <v>1.60497007</v>
      </c>
      <c r="C56" s="16">
        <v>0.86248919999999996</v>
      </c>
      <c r="D56" s="16">
        <v>0.76762218999999998</v>
      </c>
      <c r="E56" s="16">
        <v>0.90617685999999997</v>
      </c>
    </row>
    <row r="57" spans="1:5" ht="18" x14ac:dyDescent="0.25">
      <c r="A57" s="14" t="s">
        <v>61</v>
      </c>
      <c r="B57" s="16">
        <v>3.0583996199999999</v>
      </c>
      <c r="C57" s="16">
        <v>2.59064994</v>
      </c>
      <c r="D57" s="16" t="s">
        <v>27</v>
      </c>
      <c r="E57" s="16" t="s">
        <v>27</v>
      </c>
    </row>
    <row r="58" spans="1:5" ht="18" x14ac:dyDescent="0.25">
      <c r="A58" s="14" t="s">
        <v>76</v>
      </c>
      <c r="B58" s="16" t="s">
        <v>27</v>
      </c>
      <c r="C58" s="16" t="s">
        <v>27</v>
      </c>
      <c r="D58" s="16">
        <v>5.1902299999999997</v>
      </c>
      <c r="E58" s="16">
        <v>6.3483850400000001</v>
      </c>
    </row>
    <row r="59" spans="1:5" ht="18" x14ac:dyDescent="0.25">
      <c r="A59" s="14" t="s">
        <v>74</v>
      </c>
      <c r="B59" s="16">
        <v>2.3822564900000001</v>
      </c>
      <c r="C59" s="16">
        <v>2.4873634199999999</v>
      </c>
      <c r="D59" s="16">
        <v>1.9409677700000001</v>
      </c>
      <c r="E59" s="16">
        <v>1.9891286500000001</v>
      </c>
    </row>
    <row r="60" spans="1:5" ht="18" x14ac:dyDescent="0.25">
      <c r="A60" s="14" t="s">
        <v>75</v>
      </c>
      <c r="B60" s="16" t="s">
        <v>27</v>
      </c>
      <c r="C60" s="16">
        <v>0.47039393000000002</v>
      </c>
      <c r="D60" s="16">
        <v>0.98431444999999995</v>
      </c>
      <c r="E60" s="16">
        <v>0.93177639999999995</v>
      </c>
    </row>
    <row r="61" spans="1:5" ht="18" x14ac:dyDescent="0.25">
      <c r="A61" s="14" t="s">
        <v>77</v>
      </c>
      <c r="B61" s="16" t="s">
        <v>27</v>
      </c>
      <c r="C61" s="16" t="s">
        <v>27</v>
      </c>
      <c r="D61" s="16" t="s">
        <v>27</v>
      </c>
      <c r="E61" s="16">
        <v>0.93678927999999995</v>
      </c>
    </row>
    <row r="62" spans="1:5" ht="18" x14ac:dyDescent="0.25">
      <c r="A62" s="14" t="s">
        <v>72</v>
      </c>
      <c r="B62" s="16">
        <v>1.1416738900000001</v>
      </c>
      <c r="C62" s="16">
        <v>0.95837291999999996</v>
      </c>
      <c r="D62" s="16">
        <v>1.08951306</v>
      </c>
      <c r="E62" s="16">
        <v>0</v>
      </c>
    </row>
    <row r="63" spans="1:5" ht="18" x14ac:dyDescent="0.25">
      <c r="A63" s="19" t="s">
        <v>73</v>
      </c>
      <c r="B63" s="16">
        <v>0.75329780000000002</v>
      </c>
      <c r="C63" s="16">
        <v>0.70946027</v>
      </c>
      <c r="E63" s="16">
        <v>0</v>
      </c>
    </row>
    <row r="64" spans="1:5" ht="18" x14ac:dyDescent="0.25">
      <c r="A64" s="14" t="s">
        <v>70</v>
      </c>
      <c r="B64" s="16">
        <v>3.3863848600000002</v>
      </c>
      <c r="C64" s="16">
        <v>2.9966324700000002</v>
      </c>
      <c r="D64" s="16">
        <v>0.86300359000000004</v>
      </c>
      <c r="E64" s="16" t="s">
        <v>27</v>
      </c>
    </row>
    <row r="65" spans="1:5" ht="18" x14ac:dyDescent="0.25">
      <c r="A65" s="19" t="s">
        <v>71</v>
      </c>
      <c r="B65" s="20">
        <v>1.4870229500000001</v>
      </c>
    </row>
    <row r="66" spans="1:5" ht="18" x14ac:dyDescent="0.25">
      <c r="A66" s="14" t="s">
        <v>99</v>
      </c>
      <c r="B66" s="16">
        <v>0</v>
      </c>
      <c r="C66" s="16">
        <v>0</v>
      </c>
      <c r="D66" s="16" t="s">
        <v>27</v>
      </c>
      <c r="E66" s="16" t="s">
        <v>27</v>
      </c>
    </row>
    <row r="67" spans="1:5" ht="18" x14ac:dyDescent="0.25">
      <c r="A67" s="14" t="s">
        <v>78</v>
      </c>
      <c r="B67" s="16">
        <v>1.5244032199999999</v>
      </c>
      <c r="C67" s="16">
        <v>1.55008671</v>
      </c>
      <c r="D67" s="16">
        <v>0.93562670999999997</v>
      </c>
      <c r="E67" s="16">
        <v>0.93976236000000002</v>
      </c>
    </row>
    <row r="68" spans="1:5" ht="18" x14ac:dyDescent="0.25">
      <c r="A68" s="14" t="s">
        <v>90</v>
      </c>
      <c r="B68" s="16">
        <v>0</v>
      </c>
      <c r="C68" s="16">
        <v>0.56585114000000003</v>
      </c>
      <c r="D68" s="16" t="s">
        <v>27</v>
      </c>
      <c r="E68" s="16" t="s">
        <v>27</v>
      </c>
    </row>
    <row r="69" spans="1:5" ht="18" x14ac:dyDescent="0.25">
      <c r="A69" s="14" t="s">
        <v>67</v>
      </c>
      <c r="B69" s="16">
        <v>0.95698645999999998</v>
      </c>
      <c r="C69" s="16">
        <v>1.32823336</v>
      </c>
      <c r="D69" s="16">
        <v>1.42835321</v>
      </c>
      <c r="E69" s="16">
        <v>1.67160778</v>
      </c>
    </row>
    <row r="70" spans="1:5" ht="18" x14ac:dyDescent="0.25">
      <c r="A70" s="14" t="s">
        <v>66</v>
      </c>
      <c r="B70" s="16">
        <v>0.95698645999999998</v>
      </c>
      <c r="C70" s="16">
        <v>0.89354117</v>
      </c>
      <c r="D70" s="16">
        <v>0.80281438999999999</v>
      </c>
      <c r="E70" s="16">
        <v>0.91727484999999997</v>
      </c>
    </row>
    <row r="71" spans="1:5" ht="18" x14ac:dyDescent="0.25">
      <c r="A71" s="14" t="s">
        <v>65</v>
      </c>
      <c r="B71" s="16">
        <v>2.3612600800000001</v>
      </c>
      <c r="C71" s="16">
        <v>2.9232023200000001</v>
      </c>
      <c r="D71" s="16" t="s">
        <v>27</v>
      </c>
      <c r="E71" s="16" t="s">
        <v>27</v>
      </c>
    </row>
    <row r="72" spans="1:5" ht="18.75" thickBot="1" x14ac:dyDescent="0.3">
      <c r="A72" s="19" t="s">
        <v>68</v>
      </c>
      <c r="B72" s="20">
        <v>0.76152768999999998</v>
      </c>
    </row>
    <row r="73" spans="1:5" ht="18.75" thickBot="1" x14ac:dyDescent="0.4">
      <c r="A73" s="13" t="s">
        <v>79</v>
      </c>
      <c r="B73" s="16">
        <v>0.42760705999999998</v>
      </c>
      <c r="C73" s="16">
        <v>0.49449380999999998</v>
      </c>
      <c r="D73" s="15">
        <v>3.4814308500000002</v>
      </c>
      <c r="E73" s="16">
        <v>6.0768023800000002</v>
      </c>
    </row>
    <row r="74" spans="1:5" ht="18" x14ac:dyDescent="0.25">
      <c r="A74" s="21" t="s">
        <v>102</v>
      </c>
      <c r="B74" s="22">
        <v>99.999999989999978</v>
      </c>
      <c r="C74" s="23">
        <f>SUM(C2:C73)</f>
        <v>99.999999979999984</v>
      </c>
      <c r="D74" s="23">
        <f>SUM(D2:D73)</f>
        <v>100</v>
      </c>
      <c r="E74" s="23">
        <f>SUM(E2:E73)</f>
        <v>99.999999970000005</v>
      </c>
    </row>
    <row r="75" spans="1:5" x14ac:dyDescent="0.25">
      <c r="B7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workbookViewId="0"/>
  </sheetViews>
  <sheetFormatPr defaultRowHeight="15" x14ac:dyDescent="0.25"/>
  <cols>
    <col min="1" max="1" width="35.85546875" customWidth="1"/>
    <col min="2" max="18" width="20.85546875" customWidth="1"/>
  </cols>
  <sheetData>
    <row r="1" spans="1:18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18" x14ac:dyDescent="0.25">
      <c r="A2" s="3" t="s">
        <v>18</v>
      </c>
      <c r="B2" s="4">
        <v>0.60499999999999998</v>
      </c>
      <c r="C2" s="4">
        <v>9.7875680299999992</v>
      </c>
      <c r="D2" s="4">
        <v>9.11135245</v>
      </c>
      <c r="E2" s="4">
        <v>5.8414726100000003</v>
      </c>
      <c r="F2" s="4">
        <v>-3.2698798400000002</v>
      </c>
      <c r="G2" s="4">
        <v>3.5387734599999998</v>
      </c>
      <c r="H2" s="4">
        <v>-5.5725789900000002</v>
      </c>
      <c r="I2" s="4">
        <v>1.8260544599999999</v>
      </c>
      <c r="J2" s="4">
        <v>-7.2852979900000001</v>
      </c>
      <c r="K2" s="4">
        <v>3.9496107399999998</v>
      </c>
      <c r="L2" s="4">
        <v>-5.1617417100000003</v>
      </c>
      <c r="M2" s="4">
        <v>1.80044728</v>
      </c>
      <c r="N2" s="4">
        <v>-7.3109051699999998</v>
      </c>
      <c r="O2" s="4">
        <v>1.12648949</v>
      </c>
      <c r="P2" s="4">
        <v>-7.9848629600000001</v>
      </c>
      <c r="Q2" s="4">
        <v>1.8235431799999999</v>
      </c>
      <c r="R2" s="5">
        <v>-7.2878092700000003</v>
      </c>
    </row>
    <row r="3" spans="1:18" ht="18" x14ac:dyDescent="0.25">
      <c r="A3" s="3" t="s">
        <v>19</v>
      </c>
      <c r="B3" s="4">
        <v>0.92800000000000005</v>
      </c>
      <c r="C3" s="4">
        <v>2.2127948499999999</v>
      </c>
      <c r="D3" s="4">
        <v>5.0388266899999996</v>
      </c>
      <c r="E3" s="4">
        <v>5.92469994</v>
      </c>
      <c r="F3" s="4">
        <v>0.88587324999999995</v>
      </c>
      <c r="G3" s="4">
        <v>2.7690976599999999</v>
      </c>
      <c r="H3" s="4">
        <v>-2.2697290300000001</v>
      </c>
      <c r="I3" s="4">
        <v>6.9486066400000004</v>
      </c>
      <c r="J3" s="4">
        <v>1.9097799499999999</v>
      </c>
      <c r="K3" s="4">
        <v>4.7401628000000002</v>
      </c>
      <c r="L3" s="4">
        <v>-0.29866388999999999</v>
      </c>
      <c r="M3" s="4">
        <v>6.0338926500000003</v>
      </c>
      <c r="N3" s="4">
        <v>0.99506596000000003</v>
      </c>
      <c r="O3" s="4">
        <v>3.4693101500000001</v>
      </c>
      <c r="P3" s="4">
        <v>-1.56951654</v>
      </c>
      <c r="Q3" s="4">
        <v>6.9390505600000001</v>
      </c>
      <c r="R3" s="5">
        <v>1.90022387</v>
      </c>
    </row>
    <row r="4" spans="1:18" ht="18" x14ac:dyDescent="0.25">
      <c r="A4" s="3" t="s">
        <v>20</v>
      </c>
      <c r="B4" s="4">
        <v>1.431</v>
      </c>
      <c r="C4" s="4">
        <v>3.8976619800000001</v>
      </c>
      <c r="D4" s="4">
        <v>4.7797594200000004</v>
      </c>
      <c r="E4" s="4">
        <v>4.6876536900000003</v>
      </c>
      <c r="F4" s="4">
        <v>-9.2105729999999997E-2</v>
      </c>
      <c r="G4" s="4">
        <v>5.2521103499999997</v>
      </c>
      <c r="H4" s="4">
        <v>0.47235093</v>
      </c>
      <c r="I4" s="4">
        <v>4.1877312499999997</v>
      </c>
      <c r="J4" s="4">
        <v>-0.59202816999999996</v>
      </c>
      <c r="K4" s="4">
        <v>4.7225249900000001</v>
      </c>
      <c r="L4" s="4">
        <v>-5.7234430000000003E-2</v>
      </c>
      <c r="M4" s="4">
        <v>5.0813151000000003</v>
      </c>
      <c r="N4" s="4">
        <v>0.30155567999999999</v>
      </c>
      <c r="O4" s="4">
        <v>3.5357125800000002</v>
      </c>
      <c r="P4" s="4">
        <v>-1.24404684</v>
      </c>
      <c r="Q4" s="4">
        <v>4.1819720699999996</v>
      </c>
      <c r="R4" s="5">
        <v>-0.59778735000000005</v>
      </c>
    </row>
    <row r="5" spans="1:18" ht="18" x14ac:dyDescent="0.25">
      <c r="A5" s="3" t="s">
        <v>21</v>
      </c>
      <c r="B5" s="4">
        <v>1.1439999999999999</v>
      </c>
      <c r="C5" s="4">
        <v>4.97326231</v>
      </c>
      <c r="D5" s="4">
        <v>4.4019170599999997</v>
      </c>
      <c r="E5" s="4">
        <v>8.7846869999999994E-2</v>
      </c>
      <c r="F5" s="4">
        <v>-4.3140701899999998</v>
      </c>
      <c r="G5" s="4">
        <v>1.5469334800000001</v>
      </c>
      <c r="H5" s="4">
        <v>-2.8549835799999999</v>
      </c>
      <c r="I5" s="4">
        <v>1.14314011</v>
      </c>
      <c r="J5" s="4">
        <v>-3.2587769500000001</v>
      </c>
      <c r="K5" s="4">
        <v>0.52974140999999997</v>
      </c>
      <c r="L5" s="4">
        <v>-3.87217565</v>
      </c>
      <c r="M5" s="4">
        <v>0.64312332999999999</v>
      </c>
      <c r="N5" s="4">
        <v>-3.7587937299999998</v>
      </c>
      <c r="O5" s="4">
        <v>0.22121476000000001</v>
      </c>
      <c r="P5" s="4">
        <v>-4.1807023000000001</v>
      </c>
      <c r="Q5" s="4">
        <v>1.1415679999999999</v>
      </c>
      <c r="R5" s="5">
        <v>-3.2603490599999998</v>
      </c>
    </row>
    <row r="6" spans="1:18" ht="18" x14ac:dyDescent="0.25">
      <c r="A6" s="3" t="s">
        <v>22</v>
      </c>
      <c r="B6" s="4">
        <v>1.137</v>
      </c>
      <c r="C6" s="4">
        <v>3.3439419500000001</v>
      </c>
      <c r="D6" s="4">
        <v>4.2030675000000004</v>
      </c>
      <c r="E6" s="4">
        <v>5.1718096100000004</v>
      </c>
      <c r="F6" s="4">
        <v>0.96874210999999999</v>
      </c>
      <c r="G6" s="4">
        <v>5.4901374599999997</v>
      </c>
      <c r="H6" s="4">
        <v>1.28706996</v>
      </c>
      <c r="I6" s="4">
        <v>4.8975419799999997</v>
      </c>
      <c r="J6" s="4">
        <v>0.69447448000000001</v>
      </c>
      <c r="K6" s="4">
        <v>3.7848467700000001</v>
      </c>
      <c r="L6" s="4">
        <v>-0.41822072999999998</v>
      </c>
      <c r="M6" s="4">
        <v>4.8377432000000002</v>
      </c>
      <c r="N6" s="4">
        <v>0.63467569999999995</v>
      </c>
      <c r="O6" s="4">
        <v>3.03016482</v>
      </c>
      <c r="P6" s="4">
        <v>-1.17290268</v>
      </c>
      <c r="Q6" s="4">
        <v>4.8908066400000001</v>
      </c>
      <c r="R6" s="5">
        <v>0.68773914000000003</v>
      </c>
    </row>
    <row r="7" spans="1:18" ht="18" x14ac:dyDescent="0.25">
      <c r="A7" s="3" t="s">
        <v>23</v>
      </c>
      <c r="B7" s="4">
        <v>1.2829999999999999</v>
      </c>
      <c r="C7" s="4">
        <v>2.5574446599999998</v>
      </c>
      <c r="D7" s="4">
        <v>4.1060444900000004</v>
      </c>
      <c r="E7" s="4">
        <v>3.1882680900000002</v>
      </c>
      <c r="F7" s="4">
        <v>-0.91777640000000005</v>
      </c>
      <c r="G7" s="4">
        <v>2.8151552899999999</v>
      </c>
      <c r="H7" s="4">
        <v>-1.2908892000000001</v>
      </c>
      <c r="I7" s="4">
        <v>4.6537312200000001</v>
      </c>
      <c r="J7" s="4">
        <v>0.54768673000000001</v>
      </c>
      <c r="K7" s="4">
        <v>5.9788794200000002</v>
      </c>
      <c r="L7" s="4">
        <v>1.87283493</v>
      </c>
      <c r="M7" s="4">
        <v>4.6221216199999997</v>
      </c>
      <c r="N7" s="4">
        <v>0.51607713</v>
      </c>
      <c r="O7" s="4">
        <v>2.90452859</v>
      </c>
      <c r="P7" s="4">
        <v>-1.2015159</v>
      </c>
      <c r="Q7" s="4">
        <v>4.6473311700000002</v>
      </c>
      <c r="R7" s="5">
        <v>0.54128668000000002</v>
      </c>
    </row>
    <row r="8" spans="1:18" ht="18" x14ac:dyDescent="0.25">
      <c r="A8" s="3" t="s">
        <v>24</v>
      </c>
      <c r="B8" s="4">
        <v>1.0609999999999999</v>
      </c>
      <c r="C8" s="4">
        <v>2.9250143199999998</v>
      </c>
      <c r="D8" s="4">
        <v>3.93029735</v>
      </c>
      <c r="E8" s="4">
        <v>6.9566800899999999</v>
      </c>
      <c r="F8" s="4">
        <v>3.0263827399999998</v>
      </c>
      <c r="G8" s="4">
        <v>5.4720246799999996</v>
      </c>
      <c r="H8" s="4">
        <v>1.5417273300000001</v>
      </c>
      <c r="I8" s="4">
        <v>3.5989347600000001</v>
      </c>
      <c r="J8" s="4">
        <v>-0.33136259000000001</v>
      </c>
      <c r="K8" s="4">
        <v>4.6697929599999997</v>
      </c>
      <c r="L8" s="4">
        <v>0.73949560999999997</v>
      </c>
      <c r="M8" s="4">
        <v>4.0832352399999996</v>
      </c>
      <c r="N8" s="4">
        <v>0.15293788999999999</v>
      </c>
      <c r="O8" s="4">
        <v>2.7549450200000001</v>
      </c>
      <c r="P8" s="4">
        <v>-1.1753523299999999</v>
      </c>
      <c r="Q8" s="4">
        <v>3.5939853300000002</v>
      </c>
      <c r="R8" s="5">
        <v>-0.33631201999999999</v>
      </c>
    </row>
    <row r="9" spans="1:18" ht="18" x14ac:dyDescent="0.25">
      <c r="A9" s="3" t="s">
        <v>25</v>
      </c>
      <c r="B9" s="4">
        <v>1.26</v>
      </c>
      <c r="C9" s="4">
        <v>1.3357530399999999</v>
      </c>
      <c r="D9" s="4">
        <v>2.9246797999999998</v>
      </c>
      <c r="E9" s="4">
        <v>3.2594771200000001</v>
      </c>
      <c r="F9" s="4">
        <v>0.33479732000000001</v>
      </c>
      <c r="G9" s="4">
        <v>5.0537729899999997</v>
      </c>
      <c r="H9" s="4">
        <v>2.1290931899999999</v>
      </c>
      <c r="I9" s="4">
        <v>3.39597952</v>
      </c>
      <c r="J9" s="4">
        <v>0.47129971999999998</v>
      </c>
      <c r="K9" s="4">
        <v>4.74567462</v>
      </c>
      <c r="L9" s="4">
        <v>1.8209948199999999</v>
      </c>
      <c r="M9" s="4">
        <v>3.0780954</v>
      </c>
      <c r="N9" s="4">
        <v>0.15341560000000001</v>
      </c>
      <c r="O9" s="4">
        <v>1.82471177</v>
      </c>
      <c r="P9" s="4">
        <v>-1.0999680300000001</v>
      </c>
      <c r="Q9" s="4">
        <v>3.3913091999999998</v>
      </c>
      <c r="R9" s="5">
        <v>0.46662940000000003</v>
      </c>
    </row>
    <row r="10" spans="1:18" ht="18" x14ac:dyDescent="0.25">
      <c r="A10" s="3" t="s">
        <v>26</v>
      </c>
      <c r="B10" s="4">
        <v>1.327</v>
      </c>
      <c r="C10" s="4">
        <v>0.84465354000000004</v>
      </c>
      <c r="D10" s="4">
        <v>0.99586403999999995</v>
      </c>
      <c r="E10" s="4">
        <v>1.1347676499999999</v>
      </c>
      <c r="F10" s="4">
        <v>0.13890361000000001</v>
      </c>
      <c r="G10" s="4">
        <v>0.38569023000000002</v>
      </c>
      <c r="H10" s="4">
        <v>-0.61017381000000004</v>
      </c>
      <c r="I10" s="6" t="s">
        <v>27</v>
      </c>
      <c r="J10" s="4">
        <v>-0.99586403999999995</v>
      </c>
      <c r="K10" s="4">
        <v>2.6220500000000001E-2</v>
      </c>
      <c r="L10" s="4">
        <v>-0.96964353999999997</v>
      </c>
      <c r="M10" s="6" t="s">
        <v>27</v>
      </c>
      <c r="N10" s="4">
        <v>-0.99586403999999995</v>
      </c>
      <c r="O10" s="6" t="s">
        <v>27</v>
      </c>
      <c r="P10" s="4">
        <v>-0.99586403999999995</v>
      </c>
      <c r="Q10" s="6" t="s">
        <v>27</v>
      </c>
      <c r="R10" s="5">
        <v>-0.99586403999999995</v>
      </c>
    </row>
    <row r="11" spans="1:18" ht="18" x14ac:dyDescent="0.25">
      <c r="A11" s="3" t="s">
        <v>28</v>
      </c>
      <c r="B11" s="4">
        <v>1.0049999999999999</v>
      </c>
      <c r="C11" s="4">
        <v>1.7113296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4">
        <v>0.99630496999999996</v>
      </c>
      <c r="J11" s="4">
        <v>0.99630496999999996</v>
      </c>
      <c r="K11" s="6" t="s">
        <v>27</v>
      </c>
      <c r="L11" s="6" t="s">
        <v>27</v>
      </c>
      <c r="M11" s="4">
        <v>0.36771482999999999</v>
      </c>
      <c r="N11" s="4">
        <v>0.36771482999999999</v>
      </c>
      <c r="O11" s="6" t="s">
        <v>27</v>
      </c>
      <c r="P11" s="6" t="s">
        <v>27</v>
      </c>
      <c r="Q11" s="4">
        <v>0.99493480000000001</v>
      </c>
      <c r="R11" s="5">
        <v>0.99493480000000001</v>
      </c>
    </row>
    <row r="12" spans="1:18" ht="18" x14ac:dyDescent="0.25">
      <c r="A12" s="3" t="s">
        <v>29</v>
      </c>
      <c r="B12" s="4">
        <v>1.1830000000000001</v>
      </c>
      <c r="C12" s="4">
        <v>0.58161825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4">
        <v>1.987535E-2</v>
      </c>
      <c r="L12" s="4">
        <v>1.987535E-2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7" t="s">
        <v>27</v>
      </c>
    </row>
    <row r="13" spans="1:18" ht="18" x14ac:dyDescent="0.25">
      <c r="A13" s="3" t="s">
        <v>30</v>
      </c>
      <c r="B13" s="4">
        <v>1.4530000000000001</v>
      </c>
      <c r="C13" s="4">
        <v>0.98133490999999995</v>
      </c>
      <c r="D13" s="4">
        <v>2.0518104899999998</v>
      </c>
      <c r="E13" s="4">
        <v>2.96706118</v>
      </c>
      <c r="F13" s="4">
        <v>0.91525069000000003</v>
      </c>
      <c r="G13" s="4">
        <v>3.3935795799999999</v>
      </c>
      <c r="H13" s="4">
        <v>1.3417690900000001</v>
      </c>
      <c r="I13" s="4">
        <v>6.0838259800000003</v>
      </c>
      <c r="J13" s="4">
        <v>4.03201549</v>
      </c>
      <c r="K13" s="4">
        <v>0.85465975000000005</v>
      </c>
      <c r="L13" s="4">
        <v>-1.1971507400000001</v>
      </c>
      <c r="M13" s="4">
        <v>5.27450288</v>
      </c>
      <c r="N13" s="4">
        <v>3.2226923900000002</v>
      </c>
      <c r="O13" s="4">
        <v>3.0290924800000001</v>
      </c>
      <c r="P13" s="4">
        <v>0.97728199000000004</v>
      </c>
      <c r="Q13" s="4">
        <v>6.0754591900000001</v>
      </c>
      <c r="R13" s="5">
        <v>4.0236486999999999</v>
      </c>
    </row>
    <row r="14" spans="1:18" ht="18" x14ac:dyDescent="0.25">
      <c r="A14" s="3" t="s">
        <v>31</v>
      </c>
      <c r="B14" s="4">
        <v>1.728</v>
      </c>
      <c r="C14" s="4">
        <v>0.45778489</v>
      </c>
      <c r="D14" s="4">
        <v>0.96278638000000005</v>
      </c>
      <c r="E14" s="4">
        <v>1.0511068400000001</v>
      </c>
      <c r="F14" s="4">
        <v>8.8320460000000003E-2</v>
      </c>
      <c r="G14" s="4">
        <v>0.90510782999999995</v>
      </c>
      <c r="H14" s="4">
        <v>-5.7678550000000002E-2</v>
      </c>
      <c r="I14" s="4">
        <v>2.39622855</v>
      </c>
      <c r="J14" s="4">
        <v>1.43344217</v>
      </c>
      <c r="K14" s="4">
        <v>4.2698210699999999</v>
      </c>
      <c r="L14" s="4">
        <v>3.3070346900000001</v>
      </c>
      <c r="M14" s="4">
        <v>2.0556180999999998</v>
      </c>
      <c r="N14" s="4">
        <v>1.09283172</v>
      </c>
      <c r="O14" s="4">
        <v>1.1712212500000001</v>
      </c>
      <c r="P14" s="4">
        <v>0.20843486999999999</v>
      </c>
      <c r="Q14" s="4">
        <v>2.3929331399999998</v>
      </c>
      <c r="R14" s="5">
        <v>1.43014676</v>
      </c>
    </row>
    <row r="15" spans="1:18" ht="18" x14ac:dyDescent="0.25">
      <c r="A15" s="3" t="s">
        <v>32</v>
      </c>
      <c r="B15" s="4">
        <v>1.952</v>
      </c>
      <c r="C15" s="6" t="s">
        <v>27</v>
      </c>
      <c r="D15" s="4">
        <v>0.82009911999999996</v>
      </c>
      <c r="E15" s="4">
        <v>1.2280067699999999</v>
      </c>
      <c r="F15" s="4">
        <v>0.40790765000000001</v>
      </c>
      <c r="G15" s="6" t="s">
        <v>27</v>
      </c>
      <c r="H15" s="4">
        <v>-0.82009911999999996</v>
      </c>
      <c r="I15" s="6" t="s">
        <v>27</v>
      </c>
      <c r="J15" s="4">
        <v>-0.82009911999999996</v>
      </c>
      <c r="K15" s="4">
        <v>0.83735789999999999</v>
      </c>
      <c r="L15" s="4">
        <v>1.7258780000000001E-2</v>
      </c>
      <c r="M15" s="4">
        <v>0.82397661</v>
      </c>
      <c r="N15" s="4">
        <v>3.8774899999999999E-3</v>
      </c>
      <c r="O15" s="4">
        <v>0.82397648000000001</v>
      </c>
      <c r="P15" s="4">
        <v>3.8773599999999998E-3</v>
      </c>
      <c r="Q15" s="6" t="s">
        <v>27</v>
      </c>
      <c r="R15" s="5">
        <v>-0.82009911999999996</v>
      </c>
    </row>
    <row r="16" spans="1:18" ht="18" x14ac:dyDescent="0.25">
      <c r="A16" s="3" t="s">
        <v>33</v>
      </c>
      <c r="B16" s="4">
        <v>1.8069999999999999</v>
      </c>
      <c r="C16" s="6" t="s">
        <v>27</v>
      </c>
      <c r="D16" s="4">
        <v>0.74238950000000004</v>
      </c>
      <c r="E16" s="6" t="s">
        <v>27</v>
      </c>
      <c r="F16" s="4">
        <v>-0.74238950000000004</v>
      </c>
      <c r="G16" s="6" t="s">
        <v>27</v>
      </c>
      <c r="H16" s="4">
        <v>-0.74238950000000004</v>
      </c>
      <c r="I16" s="6" t="s">
        <v>27</v>
      </c>
      <c r="J16" s="4">
        <v>-0.74238950000000004</v>
      </c>
      <c r="K16" s="6" t="s">
        <v>27</v>
      </c>
      <c r="L16" s="4">
        <v>-0.74238950000000004</v>
      </c>
      <c r="M16" s="6" t="s">
        <v>27</v>
      </c>
      <c r="N16" s="4">
        <v>-0.74238950000000004</v>
      </c>
      <c r="O16" s="6" t="s">
        <v>27</v>
      </c>
      <c r="P16" s="4">
        <v>-0.74238950000000004</v>
      </c>
      <c r="Q16" s="6" t="s">
        <v>27</v>
      </c>
      <c r="R16" s="5">
        <v>-0.74238950000000004</v>
      </c>
    </row>
    <row r="17" spans="1:18" ht="18" x14ac:dyDescent="0.25">
      <c r="A17" s="3" t="s">
        <v>34</v>
      </c>
      <c r="B17" s="4">
        <v>2.089</v>
      </c>
      <c r="C17" s="4">
        <v>9.7519469999999997E-2</v>
      </c>
      <c r="D17" s="6" t="s">
        <v>27</v>
      </c>
      <c r="E17" s="6" t="s">
        <v>27</v>
      </c>
      <c r="F17" s="6" t="s">
        <v>27</v>
      </c>
      <c r="G17" s="4">
        <v>0.57313937999999998</v>
      </c>
      <c r="H17" s="4">
        <v>0.57313937999999998</v>
      </c>
      <c r="I17" s="6" t="s">
        <v>27</v>
      </c>
      <c r="J17" s="6" t="s">
        <v>27</v>
      </c>
      <c r="K17" s="4">
        <v>9.517465E-2</v>
      </c>
      <c r="L17" s="4">
        <v>9.517465E-2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7" t="s">
        <v>27</v>
      </c>
    </row>
    <row r="18" spans="1:18" ht="18" x14ac:dyDescent="0.25">
      <c r="A18" s="3" t="s">
        <v>35</v>
      </c>
      <c r="B18" s="4">
        <v>1.8680000000000001</v>
      </c>
      <c r="C18" s="4">
        <v>0.20816039</v>
      </c>
      <c r="D18" s="6" t="s">
        <v>27</v>
      </c>
      <c r="E18" s="6" t="s">
        <v>27</v>
      </c>
      <c r="F18" s="6" t="s">
        <v>27</v>
      </c>
      <c r="G18" s="4">
        <v>0.60542821000000002</v>
      </c>
      <c r="H18" s="4">
        <v>0.60542821000000002</v>
      </c>
      <c r="I18" s="6" t="s">
        <v>27</v>
      </c>
      <c r="J18" s="6" t="s">
        <v>27</v>
      </c>
      <c r="K18" s="4">
        <v>1.74756102</v>
      </c>
      <c r="L18" s="4">
        <v>1.74756102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7" t="s">
        <v>27</v>
      </c>
    </row>
    <row r="19" spans="1:18" ht="18" x14ac:dyDescent="0.25">
      <c r="A19" s="3" t="s">
        <v>36</v>
      </c>
      <c r="B19" s="4">
        <v>0.81599999999999995</v>
      </c>
      <c r="C19" s="6" t="s">
        <v>27</v>
      </c>
      <c r="D19" s="4">
        <v>1.0040382999999999</v>
      </c>
      <c r="E19" s="4">
        <v>0.95822826000000005</v>
      </c>
      <c r="F19" s="4">
        <v>-4.5810040000000003E-2</v>
      </c>
      <c r="G19" s="4">
        <v>0.50588244999999998</v>
      </c>
      <c r="H19" s="4">
        <v>-0.49815585000000001</v>
      </c>
      <c r="I19" s="6" t="s">
        <v>27</v>
      </c>
      <c r="J19" s="4">
        <v>-1.0040382999999999</v>
      </c>
      <c r="K19" s="4">
        <v>3.0731530600000001</v>
      </c>
      <c r="L19" s="4">
        <v>2.0691147600000002</v>
      </c>
      <c r="M19" s="6" t="s">
        <v>27</v>
      </c>
      <c r="N19" s="4">
        <v>-1.0040382999999999</v>
      </c>
      <c r="O19" s="6" t="s">
        <v>27</v>
      </c>
      <c r="P19" s="4">
        <v>-1.0040382999999999</v>
      </c>
      <c r="Q19" s="6" t="s">
        <v>27</v>
      </c>
      <c r="R19" s="5">
        <v>-1.0040382999999999</v>
      </c>
    </row>
    <row r="20" spans="1:18" ht="18" x14ac:dyDescent="0.25">
      <c r="A20" s="3" t="s">
        <v>37</v>
      </c>
      <c r="B20" s="4">
        <v>0.876</v>
      </c>
      <c r="C20" s="4">
        <v>0.51828476999999995</v>
      </c>
      <c r="D20" s="4">
        <v>0.96587487999999999</v>
      </c>
      <c r="E20" s="4">
        <v>0.74758997999999999</v>
      </c>
      <c r="F20" s="4">
        <v>-0.2182849</v>
      </c>
      <c r="G20" s="4">
        <v>0.52352794000000002</v>
      </c>
      <c r="H20" s="4">
        <v>-0.44234694000000002</v>
      </c>
      <c r="I20" s="4">
        <v>5.16077063</v>
      </c>
      <c r="J20" s="4">
        <v>4.1948957499999997</v>
      </c>
      <c r="K20" s="4">
        <v>4.3637844299999999</v>
      </c>
      <c r="L20" s="4">
        <v>3.3979095500000001</v>
      </c>
      <c r="M20" s="4">
        <v>4.3054436599999999</v>
      </c>
      <c r="N20" s="4">
        <v>3.33956878</v>
      </c>
      <c r="O20" s="4">
        <v>2.4007133299999999</v>
      </c>
      <c r="P20" s="4">
        <v>1.43483845</v>
      </c>
      <c r="Q20" s="4">
        <v>5.1536732699999996</v>
      </c>
      <c r="R20" s="5">
        <v>4.1877983900000002</v>
      </c>
    </row>
    <row r="21" spans="1:18" ht="18" x14ac:dyDescent="0.25">
      <c r="A21" s="3" t="s">
        <v>38</v>
      </c>
      <c r="B21" s="4">
        <v>1.3260000000000001</v>
      </c>
      <c r="C21" s="4">
        <v>1.2181991999999999</v>
      </c>
      <c r="D21" s="4">
        <v>0.85680193999999998</v>
      </c>
      <c r="E21" s="6" t="s">
        <v>27</v>
      </c>
      <c r="F21" s="4">
        <v>-0.85680193999999998</v>
      </c>
      <c r="G21" s="6" t="s">
        <v>27</v>
      </c>
      <c r="H21" s="4">
        <v>-0.85680193999999998</v>
      </c>
      <c r="I21" s="6" t="s">
        <v>27</v>
      </c>
      <c r="J21" s="4">
        <v>-0.85680193999999998</v>
      </c>
      <c r="K21" s="6" t="s">
        <v>27</v>
      </c>
      <c r="L21" s="4">
        <v>-0.85680193999999998</v>
      </c>
      <c r="M21" s="6" t="s">
        <v>27</v>
      </c>
      <c r="N21" s="4">
        <v>-0.85680193999999998</v>
      </c>
      <c r="O21" s="6" t="s">
        <v>27</v>
      </c>
      <c r="P21" s="4">
        <v>-0.85680193999999998</v>
      </c>
      <c r="Q21" s="6" t="s">
        <v>27</v>
      </c>
      <c r="R21" s="5">
        <v>-0.85680193999999998</v>
      </c>
    </row>
    <row r="22" spans="1:18" ht="18" x14ac:dyDescent="0.25">
      <c r="A22" s="3" t="s">
        <v>39</v>
      </c>
      <c r="B22" s="4">
        <v>0.78500000000000003</v>
      </c>
      <c r="C22" s="4">
        <v>3.1547649999999998</v>
      </c>
      <c r="D22" s="4">
        <v>3.2837770800000001</v>
      </c>
      <c r="E22" s="4">
        <v>2.42517301</v>
      </c>
      <c r="F22" s="4">
        <v>-0.85860407000000005</v>
      </c>
      <c r="G22" s="4">
        <v>2.0674218799999999</v>
      </c>
      <c r="H22" s="4">
        <v>-1.2163552</v>
      </c>
      <c r="I22" s="6" t="s">
        <v>27</v>
      </c>
      <c r="J22" s="4">
        <v>-3.2837770800000001</v>
      </c>
      <c r="K22" s="6" t="s">
        <v>27</v>
      </c>
      <c r="L22" s="4">
        <v>-3.2837770800000001</v>
      </c>
      <c r="M22" s="6" t="s">
        <v>27</v>
      </c>
      <c r="N22" s="4">
        <v>-3.2837770800000001</v>
      </c>
      <c r="O22" s="6" t="s">
        <v>27</v>
      </c>
      <c r="P22" s="4">
        <v>-3.2837770800000001</v>
      </c>
      <c r="Q22" s="6" t="s">
        <v>27</v>
      </c>
      <c r="R22" s="5">
        <v>-3.2837770800000001</v>
      </c>
    </row>
    <row r="23" spans="1:18" ht="18" x14ac:dyDescent="0.25">
      <c r="A23" s="3" t="s">
        <v>40</v>
      </c>
      <c r="B23" s="4">
        <v>0.97</v>
      </c>
      <c r="C23" s="4">
        <v>0.70090368999999997</v>
      </c>
      <c r="D23" s="4">
        <v>2.11946082</v>
      </c>
      <c r="E23" s="4">
        <v>4.0360770700000002</v>
      </c>
      <c r="F23" s="4">
        <v>1.9166162499999999</v>
      </c>
      <c r="G23" s="4">
        <v>5.4611965700000002</v>
      </c>
      <c r="H23" s="4">
        <v>3.3417357499999998</v>
      </c>
      <c r="I23" s="4">
        <v>4.1558393699999998</v>
      </c>
      <c r="J23" s="4">
        <v>2.0363785499999998</v>
      </c>
      <c r="K23" s="4">
        <v>3.31627669</v>
      </c>
      <c r="L23" s="4">
        <v>1.19681587</v>
      </c>
      <c r="M23" s="4">
        <v>3.6913451400000001</v>
      </c>
      <c r="N23" s="4">
        <v>1.5718843199999999</v>
      </c>
      <c r="O23" s="4">
        <v>2.1575134600000001</v>
      </c>
      <c r="P23" s="4">
        <v>3.8052639999999999E-2</v>
      </c>
      <c r="Q23" s="4">
        <v>4.1501240399999997</v>
      </c>
      <c r="R23" s="5">
        <v>2.0306632200000001</v>
      </c>
    </row>
    <row r="24" spans="1:18" ht="18" x14ac:dyDescent="0.25">
      <c r="A24" s="3" t="s">
        <v>41</v>
      </c>
      <c r="B24" s="4">
        <v>1.59</v>
      </c>
      <c r="C24" s="4">
        <v>0.21588375000000001</v>
      </c>
      <c r="D24" s="4">
        <v>1.81507463</v>
      </c>
      <c r="E24" s="4">
        <v>1.45857138</v>
      </c>
      <c r="F24" s="4">
        <v>-0.35650324999999999</v>
      </c>
      <c r="G24" s="4">
        <v>1.3184346</v>
      </c>
      <c r="H24" s="4">
        <v>-0.49664003000000001</v>
      </c>
      <c r="I24" s="6" t="s">
        <v>27</v>
      </c>
      <c r="J24" s="4">
        <v>-1.81507463</v>
      </c>
      <c r="K24" s="4">
        <v>0.89339785000000005</v>
      </c>
      <c r="L24" s="4">
        <v>-0.92167677999999997</v>
      </c>
      <c r="M24" s="4">
        <v>0.66539377</v>
      </c>
      <c r="N24" s="4">
        <v>-1.1496808599999999</v>
      </c>
      <c r="O24" s="4">
        <v>0.66539366</v>
      </c>
      <c r="P24" s="4">
        <v>-1.1496809699999999</v>
      </c>
      <c r="Q24" s="6" t="s">
        <v>27</v>
      </c>
      <c r="R24" s="5">
        <v>-1.81507463</v>
      </c>
    </row>
    <row r="25" spans="1:18" ht="18" x14ac:dyDescent="0.25">
      <c r="A25" s="3" t="s">
        <v>42</v>
      </c>
      <c r="B25" s="4">
        <v>1.623</v>
      </c>
      <c r="C25" s="4">
        <v>0.34705078</v>
      </c>
      <c r="D25" s="4">
        <v>0.97825282999999996</v>
      </c>
      <c r="E25" s="4">
        <v>0.63984834000000002</v>
      </c>
      <c r="F25" s="4">
        <v>-0.33840449</v>
      </c>
      <c r="G25" s="6" t="s">
        <v>27</v>
      </c>
      <c r="H25" s="4">
        <v>-0.97825282999999996</v>
      </c>
      <c r="I25" s="6" t="s">
        <v>27</v>
      </c>
      <c r="J25" s="4">
        <v>-0.97825282999999996</v>
      </c>
      <c r="K25" s="4">
        <v>0.46181154000000002</v>
      </c>
      <c r="L25" s="4">
        <v>-0.51644129000000005</v>
      </c>
      <c r="M25" s="4">
        <v>0.22859251999999999</v>
      </c>
      <c r="N25" s="4">
        <v>-0.74966031</v>
      </c>
      <c r="O25" s="4">
        <v>0.22859247999999999</v>
      </c>
      <c r="P25" s="4">
        <v>-0.74966034999999998</v>
      </c>
      <c r="Q25" s="6" t="s">
        <v>27</v>
      </c>
      <c r="R25" s="5">
        <v>-0.97825282999999996</v>
      </c>
    </row>
    <row r="26" spans="1:18" ht="18" x14ac:dyDescent="0.25">
      <c r="A26" s="3" t="s">
        <v>43</v>
      </c>
      <c r="B26" s="4">
        <v>1.4119999999999999</v>
      </c>
      <c r="C26" s="4">
        <v>0.27004476999999999</v>
      </c>
      <c r="D26" s="4">
        <v>0.94534744000000004</v>
      </c>
      <c r="E26" s="4">
        <v>0.76962001999999996</v>
      </c>
      <c r="F26" s="4">
        <v>-0.17572742</v>
      </c>
      <c r="G26" s="4">
        <v>1.04044494</v>
      </c>
      <c r="H26" s="4">
        <v>9.5097500000000001E-2</v>
      </c>
      <c r="I26" s="4">
        <v>1.39284253</v>
      </c>
      <c r="J26" s="4">
        <v>0.44749508999999998</v>
      </c>
      <c r="K26" s="4">
        <v>0.4316934</v>
      </c>
      <c r="L26" s="4">
        <v>-0.51365404000000003</v>
      </c>
      <c r="M26" s="4">
        <v>1.54049551</v>
      </c>
      <c r="N26" s="4">
        <v>0.59514807000000003</v>
      </c>
      <c r="O26" s="4">
        <v>1.02642699</v>
      </c>
      <c r="P26" s="4">
        <v>8.107955E-2</v>
      </c>
      <c r="Q26" s="4">
        <v>1.3909270199999999</v>
      </c>
      <c r="R26" s="5">
        <v>0.44557957999999998</v>
      </c>
    </row>
    <row r="27" spans="1:18" ht="18" x14ac:dyDescent="0.25">
      <c r="A27" s="3" t="s">
        <v>44</v>
      </c>
      <c r="B27" s="4">
        <v>1.7450000000000001</v>
      </c>
      <c r="C27" s="4">
        <v>0.19438742000000001</v>
      </c>
      <c r="D27" s="4">
        <v>0.76558917000000004</v>
      </c>
      <c r="E27" s="4">
        <v>0.40521871999999998</v>
      </c>
      <c r="F27" s="4">
        <v>-0.36037045000000001</v>
      </c>
      <c r="G27" s="4">
        <v>0.43487927999999998</v>
      </c>
      <c r="H27" s="4">
        <v>-0.33070989000000001</v>
      </c>
      <c r="I27" s="4">
        <v>0.94349494</v>
      </c>
      <c r="J27" s="4">
        <v>0.17790576999999999</v>
      </c>
      <c r="K27" s="6" t="s">
        <v>27</v>
      </c>
      <c r="L27" s="4">
        <v>-0.76558917000000004</v>
      </c>
      <c r="M27" s="4">
        <v>0.34822377999999998</v>
      </c>
      <c r="N27" s="4">
        <v>-0.41736539</v>
      </c>
      <c r="O27" s="6" t="s">
        <v>27</v>
      </c>
      <c r="P27" s="4">
        <v>-0.76558917000000004</v>
      </c>
      <c r="Q27" s="4">
        <v>0.94219739999999996</v>
      </c>
      <c r="R27" s="5">
        <v>0.17660823</v>
      </c>
    </row>
    <row r="28" spans="1:18" ht="18" x14ac:dyDescent="0.25">
      <c r="A28" s="3" t="s">
        <v>45</v>
      </c>
      <c r="B28" s="4">
        <v>1.1990000000000001</v>
      </c>
      <c r="C28" s="4">
        <v>8.0062129999999995E-2</v>
      </c>
      <c r="D28" s="6" t="s">
        <v>27</v>
      </c>
      <c r="E28" s="6" t="s">
        <v>27</v>
      </c>
      <c r="F28" s="6" t="s">
        <v>27</v>
      </c>
      <c r="G28" s="4">
        <v>0.24735735</v>
      </c>
      <c r="H28" s="4">
        <v>0.24735735</v>
      </c>
      <c r="I28" s="6" t="s">
        <v>27</v>
      </c>
      <c r="J28" s="6" t="s">
        <v>27</v>
      </c>
      <c r="K28" s="4">
        <v>0.22632309</v>
      </c>
      <c r="L28" s="4">
        <v>0.22632309</v>
      </c>
      <c r="M28" s="4">
        <v>0.57785213999999996</v>
      </c>
      <c r="N28" s="4">
        <v>0.57785213999999996</v>
      </c>
      <c r="O28" s="4">
        <v>0.57785204000000001</v>
      </c>
      <c r="P28" s="4">
        <v>0.57785204000000001</v>
      </c>
      <c r="Q28" s="6" t="s">
        <v>27</v>
      </c>
      <c r="R28" s="7" t="s">
        <v>27</v>
      </c>
    </row>
    <row r="29" spans="1:18" ht="18" x14ac:dyDescent="0.25">
      <c r="A29" s="3" t="s">
        <v>46</v>
      </c>
      <c r="B29" s="6" t="s">
        <v>27</v>
      </c>
      <c r="C29" s="6" t="s">
        <v>27</v>
      </c>
      <c r="D29" s="6" t="s">
        <v>27</v>
      </c>
      <c r="E29" s="4">
        <v>1.8640443099999999</v>
      </c>
      <c r="F29" s="4">
        <v>1.8640443099999999</v>
      </c>
      <c r="G29" s="6" t="s">
        <v>27</v>
      </c>
      <c r="H29" s="6" t="s">
        <v>27</v>
      </c>
      <c r="I29" s="6" t="s">
        <v>27</v>
      </c>
      <c r="J29" s="6" t="s">
        <v>27</v>
      </c>
      <c r="K29" s="4">
        <v>2.24073732</v>
      </c>
      <c r="L29" s="4">
        <v>2.24073732</v>
      </c>
      <c r="M29" s="4">
        <v>1.8716036899999999</v>
      </c>
      <c r="N29" s="4">
        <v>1.8716036899999999</v>
      </c>
      <c r="O29" s="4">
        <v>1.87160338</v>
      </c>
      <c r="P29" s="4">
        <v>1.87160338</v>
      </c>
      <c r="Q29" s="6" t="s">
        <v>27</v>
      </c>
      <c r="R29" s="7" t="s">
        <v>27</v>
      </c>
    </row>
    <row r="30" spans="1:18" ht="18" x14ac:dyDescent="0.25">
      <c r="A30" s="3" t="s">
        <v>47</v>
      </c>
      <c r="B30" s="4">
        <v>1.1879999999999999</v>
      </c>
      <c r="C30" s="4">
        <v>0.74829365999999997</v>
      </c>
      <c r="D30" s="6" t="s">
        <v>27</v>
      </c>
      <c r="E30" s="4">
        <v>1.9464410000000001E-2</v>
      </c>
      <c r="F30" s="4">
        <v>1.9464410000000001E-2</v>
      </c>
      <c r="G30" s="4">
        <v>0.16623120999999999</v>
      </c>
      <c r="H30" s="4">
        <v>0.16623120999999999</v>
      </c>
      <c r="I30" s="6" t="s">
        <v>27</v>
      </c>
      <c r="J30" s="6" t="s">
        <v>27</v>
      </c>
      <c r="K30" s="6" t="s">
        <v>27</v>
      </c>
      <c r="L30" s="6" t="s">
        <v>27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7" t="s">
        <v>27</v>
      </c>
    </row>
    <row r="31" spans="1:18" ht="18" x14ac:dyDescent="0.25">
      <c r="A31" s="3" t="s">
        <v>48</v>
      </c>
      <c r="B31" s="4">
        <v>1.123</v>
      </c>
      <c r="C31" s="4">
        <v>0.20861587000000001</v>
      </c>
      <c r="D31" s="6" t="s">
        <v>27</v>
      </c>
      <c r="E31" s="4">
        <v>0.48143275000000002</v>
      </c>
      <c r="F31" s="4">
        <v>0.48143275000000002</v>
      </c>
      <c r="G31" s="4">
        <v>0.25592843999999998</v>
      </c>
      <c r="H31" s="4">
        <v>0.25592843999999998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7" t="s">
        <v>27</v>
      </c>
    </row>
    <row r="32" spans="1:18" ht="18" x14ac:dyDescent="0.25">
      <c r="A32" s="3" t="s">
        <v>49</v>
      </c>
      <c r="B32" s="4">
        <v>1.1200000000000001</v>
      </c>
      <c r="C32" s="6" t="s">
        <v>27</v>
      </c>
      <c r="D32" s="4">
        <v>1.21783877</v>
      </c>
      <c r="E32" s="4">
        <v>1.11324986</v>
      </c>
      <c r="F32" s="4">
        <v>-0.10458890999999999</v>
      </c>
      <c r="G32" s="4">
        <v>2.0724508099999999</v>
      </c>
      <c r="H32" s="4">
        <v>0.85461204000000002</v>
      </c>
      <c r="I32" s="4">
        <v>4.1593469699999996</v>
      </c>
      <c r="J32" s="4">
        <v>2.9415081999999999</v>
      </c>
      <c r="K32" s="6" t="s">
        <v>27</v>
      </c>
      <c r="L32" s="4">
        <v>-1.21783877</v>
      </c>
      <c r="M32" s="4">
        <v>3.35413388</v>
      </c>
      <c r="N32" s="4">
        <v>2.1362951099999998</v>
      </c>
      <c r="O32" s="4">
        <v>1.81900767</v>
      </c>
      <c r="P32" s="4">
        <v>0.60116890000000001</v>
      </c>
      <c r="Q32" s="4">
        <v>4.1536268300000003</v>
      </c>
      <c r="R32" s="5">
        <v>2.9357880600000001</v>
      </c>
    </row>
    <row r="33" spans="1:18" ht="18" x14ac:dyDescent="0.25">
      <c r="A33" s="3" t="s">
        <v>50</v>
      </c>
      <c r="B33" s="4">
        <v>1.605</v>
      </c>
      <c r="C33" s="4">
        <v>0.40090854999999997</v>
      </c>
      <c r="D33" s="4">
        <v>0.94311710000000004</v>
      </c>
      <c r="E33" s="4">
        <v>0.79888179999999998</v>
      </c>
      <c r="F33" s="4">
        <v>-0.14423530000000001</v>
      </c>
      <c r="G33" s="4">
        <v>1.0786800999999999</v>
      </c>
      <c r="H33" s="4">
        <v>0.13556299999999999</v>
      </c>
      <c r="I33" s="6" t="s">
        <v>27</v>
      </c>
      <c r="J33" s="4">
        <v>-0.94311710000000004</v>
      </c>
      <c r="K33" s="4">
        <v>1.1779540799999999</v>
      </c>
      <c r="L33" s="4">
        <v>0.23483698</v>
      </c>
      <c r="M33" s="6" t="s">
        <v>27</v>
      </c>
      <c r="N33" s="4">
        <v>-0.94311710000000004</v>
      </c>
      <c r="O33" s="6" t="s">
        <v>27</v>
      </c>
      <c r="P33" s="4">
        <v>-0.94311710000000004</v>
      </c>
      <c r="Q33" s="6" t="s">
        <v>27</v>
      </c>
      <c r="R33" s="5">
        <v>-0.94311710000000004</v>
      </c>
    </row>
    <row r="34" spans="1:18" ht="18" x14ac:dyDescent="0.25">
      <c r="A34" s="3" t="s">
        <v>51</v>
      </c>
      <c r="B34" s="4">
        <v>1.2589999999999999</v>
      </c>
      <c r="C34" s="4">
        <v>1.4090465400000001</v>
      </c>
      <c r="D34" s="4">
        <v>0.90102755000000001</v>
      </c>
      <c r="E34" s="4">
        <v>2.8900835300000001</v>
      </c>
      <c r="F34" s="4">
        <v>1.9890559800000001</v>
      </c>
      <c r="G34" s="4">
        <v>1.3295835300000001</v>
      </c>
      <c r="H34" s="4">
        <v>0.42855598</v>
      </c>
      <c r="I34" s="6" t="s">
        <v>27</v>
      </c>
      <c r="J34" s="4">
        <v>-0.90102755000000001</v>
      </c>
      <c r="K34" s="6" t="s">
        <v>27</v>
      </c>
      <c r="L34" s="4">
        <v>-0.90102755000000001</v>
      </c>
      <c r="M34" s="6" t="s">
        <v>27</v>
      </c>
      <c r="N34" s="4">
        <v>-0.90102755000000001</v>
      </c>
      <c r="O34" s="6" t="s">
        <v>27</v>
      </c>
      <c r="P34" s="4">
        <v>-0.90102755000000001</v>
      </c>
      <c r="Q34" s="6" t="s">
        <v>27</v>
      </c>
      <c r="R34" s="5">
        <v>-0.90102755000000001</v>
      </c>
    </row>
    <row r="35" spans="1:18" ht="18" x14ac:dyDescent="0.25">
      <c r="A35" s="3" t="s">
        <v>52</v>
      </c>
      <c r="B35" s="4">
        <v>1.446</v>
      </c>
      <c r="C35" s="4">
        <v>0.38697742000000002</v>
      </c>
      <c r="D35" s="6" t="s">
        <v>27</v>
      </c>
      <c r="E35" s="6" t="s">
        <v>27</v>
      </c>
      <c r="F35" s="6" t="s">
        <v>27</v>
      </c>
      <c r="G35" s="4">
        <v>0.47477491999999999</v>
      </c>
      <c r="H35" s="4">
        <v>0.47477491999999999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7" t="s">
        <v>27</v>
      </c>
    </row>
    <row r="36" spans="1:18" ht="18" x14ac:dyDescent="0.25">
      <c r="A36" s="3" t="s">
        <v>53</v>
      </c>
      <c r="B36" s="4">
        <v>1.091</v>
      </c>
      <c r="C36" s="4">
        <v>3.2731161100000001</v>
      </c>
      <c r="D36" s="4">
        <v>4.9425754399999997</v>
      </c>
      <c r="E36" s="4">
        <v>5.0934818799999997</v>
      </c>
      <c r="F36" s="4">
        <v>0.15090644</v>
      </c>
      <c r="G36" s="4">
        <v>4.8098288299999998</v>
      </c>
      <c r="H36" s="4">
        <v>-0.13274660999999999</v>
      </c>
      <c r="I36" s="4">
        <v>5.2704318199999998</v>
      </c>
      <c r="J36" s="4">
        <v>0.32785638</v>
      </c>
      <c r="K36" s="4">
        <v>1.3989517</v>
      </c>
      <c r="L36" s="4">
        <v>-3.5436237400000001</v>
      </c>
      <c r="M36" s="4">
        <v>5.4543581000000003</v>
      </c>
      <c r="N36" s="4">
        <v>0.51178265999999994</v>
      </c>
      <c r="O36" s="4">
        <v>3.5091539900000002</v>
      </c>
      <c r="P36" s="4">
        <v>-1.43342145</v>
      </c>
      <c r="Q36" s="4">
        <v>5.2631836500000002</v>
      </c>
      <c r="R36" s="5">
        <v>0.32060821</v>
      </c>
    </row>
    <row r="37" spans="1:18" ht="18" x14ac:dyDescent="0.25">
      <c r="A37" s="3" t="s">
        <v>54</v>
      </c>
      <c r="B37" s="4">
        <v>1.5209999999999999</v>
      </c>
      <c r="C37" s="4">
        <v>0.21999578</v>
      </c>
      <c r="D37" s="4">
        <v>0.95182750999999999</v>
      </c>
      <c r="E37" s="4">
        <v>0.42465422000000003</v>
      </c>
      <c r="F37" s="4">
        <v>-0.52717329000000002</v>
      </c>
      <c r="G37" s="4">
        <v>0.22333924999999999</v>
      </c>
      <c r="H37" s="4">
        <v>-0.72848826</v>
      </c>
      <c r="I37" s="6" t="s">
        <v>27</v>
      </c>
      <c r="J37" s="4">
        <v>-0.95182750999999999</v>
      </c>
      <c r="K37" s="6" t="s">
        <v>27</v>
      </c>
      <c r="L37" s="4">
        <v>-0.95182750999999999</v>
      </c>
      <c r="M37" s="6" t="s">
        <v>27</v>
      </c>
      <c r="N37" s="4">
        <v>-0.95182750999999999</v>
      </c>
      <c r="O37" s="6" t="s">
        <v>27</v>
      </c>
      <c r="P37" s="4">
        <v>-0.95182750999999999</v>
      </c>
      <c r="Q37" s="6" t="s">
        <v>27</v>
      </c>
      <c r="R37" s="5">
        <v>-0.95182750999999999</v>
      </c>
    </row>
    <row r="38" spans="1:18" ht="18" x14ac:dyDescent="0.25">
      <c r="A38" s="3" t="s">
        <v>55</v>
      </c>
      <c r="B38" s="4">
        <v>1.4570000000000001</v>
      </c>
      <c r="C38" s="4">
        <v>0.85029100000000002</v>
      </c>
      <c r="D38" s="4">
        <v>1.5229360700000001</v>
      </c>
      <c r="E38" s="4">
        <v>3.6874644700000001</v>
      </c>
      <c r="F38" s="4">
        <v>2.1645284</v>
      </c>
      <c r="G38" s="4">
        <v>5.7754129199999999</v>
      </c>
      <c r="H38" s="4">
        <v>4.2524768499999999</v>
      </c>
      <c r="I38" s="4">
        <v>4.7112918199999996</v>
      </c>
      <c r="J38" s="4">
        <v>3.1883557499999999</v>
      </c>
      <c r="K38" s="4">
        <v>3.6418413599999999</v>
      </c>
      <c r="L38" s="4">
        <v>2.1189052899999998</v>
      </c>
      <c r="M38" s="4">
        <v>5.0986942500000003</v>
      </c>
      <c r="N38" s="4">
        <v>3.5757581799999998</v>
      </c>
      <c r="O38" s="4">
        <v>3.35985676</v>
      </c>
      <c r="P38" s="4">
        <v>1.8369206899999999</v>
      </c>
      <c r="Q38" s="4">
        <v>4.7048126100000003</v>
      </c>
      <c r="R38" s="5">
        <v>3.1818765400000002</v>
      </c>
    </row>
    <row r="39" spans="1:18" ht="18" x14ac:dyDescent="0.25">
      <c r="A39" s="3" t="s">
        <v>56</v>
      </c>
      <c r="B39" s="4">
        <v>1.3859999999999999</v>
      </c>
      <c r="C39" s="4">
        <v>0.36188675999999997</v>
      </c>
      <c r="D39" s="4">
        <v>0.92703994999999995</v>
      </c>
      <c r="E39" s="6" t="s">
        <v>27</v>
      </c>
      <c r="F39" s="4">
        <v>-0.92703994999999995</v>
      </c>
      <c r="G39" s="4">
        <v>0.95442967000000001</v>
      </c>
      <c r="H39" s="4">
        <v>2.7389719999999999E-2</v>
      </c>
      <c r="I39" s="6" t="s">
        <v>27</v>
      </c>
      <c r="J39" s="4">
        <v>-0.92703994999999995</v>
      </c>
      <c r="K39" s="6" t="s">
        <v>27</v>
      </c>
      <c r="L39" s="4">
        <v>-0.92703994999999995</v>
      </c>
      <c r="M39" s="6" t="s">
        <v>27</v>
      </c>
      <c r="N39" s="4">
        <v>-0.92703994999999995</v>
      </c>
      <c r="O39" s="6" t="s">
        <v>27</v>
      </c>
      <c r="P39" s="4">
        <v>-0.92703994999999995</v>
      </c>
      <c r="Q39" s="6" t="s">
        <v>27</v>
      </c>
      <c r="R39" s="5">
        <v>-0.92703994999999995</v>
      </c>
    </row>
    <row r="40" spans="1:18" ht="18" x14ac:dyDescent="0.25">
      <c r="A40" s="3" t="s">
        <v>57</v>
      </c>
      <c r="B40" s="4">
        <v>1.306</v>
      </c>
      <c r="C40" s="4">
        <v>0.26299935000000002</v>
      </c>
      <c r="D40" s="6" t="s">
        <v>27</v>
      </c>
      <c r="E40" s="4">
        <v>0.27434892999999999</v>
      </c>
      <c r="F40" s="4">
        <v>0.27434892999999999</v>
      </c>
      <c r="G40" s="4">
        <v>0.40577027999999998</v>
      </c>
      <c r="H40" s="4">
        <v>0.40577027999999998</v>
      </c>
      <c r="I40" s="6" t="s">
        <v>27</v>
      </c>
      <c r="J40" s="6" t="s">
        <v>27</v>
      </c>
      <c r="K40" s="4">
        <v>0.13779543</v>
      </c>
      <c r="L40" s="4">
        <v>0.13779543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7" t="s">
        <v>27</v>
      </c>
    </row>
    <row r="41" spans="1:18" ht="18" x14ac:dyDescent="0.25">
      <c r="A41" s="3" t="s">
        <v>58</v>
      </c>
      <c r="B41" s="4">
        <v>1.0369999999999999</v>
      </c>
      <c r="C41" s="4">
        <v>8.6502599999999999E-2</v>
      </c>
      <c r="D41" s="6" t="s">
        <v>27</v>
      </c>
      <c r="E41" s="6" t="s">
        <v>27</v>
      </c>
      <c r="F41" s="6" t="s">
        <v>27</v>
      </c>
      <c r="G41" s="4">
        <v>1.0121341100000001</v>
      </c>
      <c r="H41" s="4">
        <v>1.0121341100000001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7" t="s">
        <v>27</v>
      </c>
    </row>
    <row r="42" spans="1:18" ht="18" x14ac:dyDescent="0.25">
      <c r="A42" s="3" t="s">
        <v>59</v>
      </c>
      <c r="B42" s="4">
        <v>1.0660000000000001</v>
      </c>
      <c r="C42" s="4">
        <v>4.3076627600000004</v>
      </c>
      <c r="D42" s="4">
        <v>6.0322169399999996</v>
      </c>
      <c r="E42" s="4">
        <v>8.0812895200000003</v>
      </c>
      <c r="F42" s="4">
        <v>2.0490725799999998</v>
      </c>
      <c r="G42" s="4">
        <v>7.8956450699999996</v>
      </c>
      <c r="H42" s="4">
        <v>1.86342813</v>
      </c>
      <c r="I42" s="4">
        <v>8.5143649400000001</v>
      </c>
      <c r="J42" s="4">
        <v>2.482148</v>
      </c>
      <c r="K42" s="4">
        <v>9.1960405099999996</v>
      </c>
      <c r="L42" s="4">
        <v>3.1638235699999999</v>
      </c>
      <c r="M42" s="4">
        <v>6.7633828100000004</v>
      </c>
      <c r="N42" s="4">
        <v>0.73116587</v>
      </c>
      <c r="O42" s="4">
        <v>3.6209124199999998</v>
      </c>
      <c r="P42" s="4">
        <v>-2.4113045199999998</v>
      </c>
      <c r="Q42" s="4">
        <v>8.5026555500000001</v>
      </c>
      <c r="R42" s="5">
        <v>2.47043861</v>
      </c>
    </row>
    <row r="43" spans="1:18" ht="18" x14ac:dyDescent="0.25">
      <c r="A43" s="3" t="s">
        <v>60</v>
      </c>
      <c r="B43" s="4">
        <v>1.2250000000000001</v>
      </c>
      <c r="C43" s="4">
        <v>1.71183821</v>
      </c>
      <c r="D43" s="4">
        <v>4.9555326300000004</v>
      </c>
      <c r="E43" s="4">
        <v>8.1323451900000006</v>
      </c>
      <c r="F43" s="4">
        <v>3.1768125600000001</v>
      </c>
      <c r="G43" s="4">
        <v>8.9702833599999998</v>
      </c>
      <c r="H43" s="4">
        <v>4.0147507300000003</v>
      </c>
      <c r="I43" s="4">
        <v>6.63815022</v>
      </c>
      <c r="J43" s="4">
        <v>1.68261759</v>
      </c>
      <c r="K43" s="4">
        <v>7.9732373000000001</v>
      </c>
      <c r="L43" s="4">
        <v>3.0177046700000001</v>
      </c>
      <c r="M43" s="4">
        <v>6.8741528199999999</v>
      </c>
      <c r="N43" s="4">
        <v>1.9186201899999999</v>
      </c>
      <c r="O43" s="4">
        <v>4.4241529799999997</v>
      </c>
      <c r="P43" s="4">
        <v>-0.53137964999999998</v>
      </c>
      <c r="Q43" s="4">
        <v>6.6290211000000001</v>
      </c>
      <c r="R43" s="5">
        <v>1.6734884699999999</v>
      </c>
    </row>
    <row r="44" spans="1:18" ht="18" x14ac:dyDescent="0.25">
      <c r="A44" s="3" t="s">
        <v>61</v>
      </c>
      <c r="B44" s="4">
        <v>0.82199999999999995</v>
      </c>
      <c r="C44" s="4">
        <v>0.63520856000000003</v>
      </c>
      <c r="D44" s="4">
        <v>3.0583996199999999</v>
      </c>
      <c r="E44" s="4">
        <v>1.95373251</v>
      </c>
      <c r="F44" s="4">
        <v>-1.1046671100000001</v>
      </c>
      <c r="G44" s="4">
        <v>1.7783019900000001</v>
      </c>
      <c r="H44" s="4">
        <v>-1.28009763</v>
      </c>
      <c r="I44" s="4">
        <v>4.4471609399999998</v>
      </c>
      <c r="J44" s="4">
        <v>1.38876132</v>
      </c>
      <c r="K44" s="4">
        <v>6.5767803499999999</v>
      </c>
      <c r="L44" s="4">
        <v>3.5183807300000001</v>
      </c>
      <c r="M44" s="4">
        <v>3.58136688</v>
      </c>
      <c r="N44" s="4">
        <v>0.52296726000000004</v>
      </c>
      <c r="O44" s="4">
        <v>1.94001468</v>
      </c>
      <c r="P44" s="4">
        <v>-1.1183849400000001</v>
      </c>
      <c r="Q44" s="4">
        <v>4.44104498</v>
      </c>
      <c r="R44" s="5">
        <v>1.3826453599999999</v>
      </c>
    </row>
    <row r="45" spans="1:18" ht="18" x14ac:dyDescent="0.25">
      <c r="A45" s="3" t="s">
        <v>62</v>
      </c>
      <c r="B45" s="4">
        <v>0.65</v>
      </c>
      <c r="C45" s="4">
        <v>0.48554443000000003</v>
      </c>
      <c r="D45" s="4">
        <v>1.60497007</v>
      </c>
      <c r="E45" s="4">
        <v>3.16634919</v>
      </c>
      <c r="F45" s="4">
        <v>1.56137912</v>
      </c>
      <c r="G45" s="4">
        <v>4.5445201400000004</v>
      </c>
      <c r="H45" s="4">
        <v>2.9395500700000001</v>
      </c>
      <c r="I45" s="4">
        <v>4.8113823499999997</v>
      </c>
      <c r="J45" s="4">
        <v>3.2064122799999999</v>
      </c>
      <c r="K45" s="4">
        <v>8.4981512800000001</v>
      </c>
      <c r="L45" s="4">
        <v>6.8931812099999998</v>
      </c>
      <c r="M45" s="4">
        <v>6.02709429</v>
      </c>
      <c r="N45" s="4">
        <v>4.4221242199999997</v>
      </c>
      <c r="O45" s="4">
        <v>4.2513153900000002</v>
      </c>
      <c r="P45" s="4">
        <v>2.64634532</v>
      </c>
      <c r="Q45" s="4">
        <v>4.8047654900000003</v>
      </c>
      <c r="R45" s="5">
        <v>3.1997954200000001</v>
      </c>
    </row>
    <row r="46" spans="1:18" ht="18" x14ac:dyDescent="0.25">
      <c r="A46" s="3" t="s">
        <v>63</v>
      </c>
      <c r="B46" s="4">
        <v>1.1100000000000001</v>
      </c>
      <c r="C46" s="4">
        <v>6.5008930000000006E-2</v>
      </c>
      <c r="D46" s="6" t="s">
        <v>27</v>
      </c>
      <c r="E46" s="6" t="s">
        <v>27</v>
      </c>
      <c r="F46" s="6" t="s">
        <v>27</v>
      </c>
      <c r="G46" s="6" t="s">
        <v>27</v>
      </c>
      <c r="H46" s="6" t="s">
        <v>27</v>
      </c>
      <c r="I46" s="4">
        <v>0.62698441999999999</v>
      </c>
      <c r="J46" s="4">
        <v>0.62698441999999999</v>
      </c>
      <c r="K46" s="6" t="s">
        <v>27</v>
      </c>
      <c r="L46" s="6" t="s">
        <v>27</v>
      </c>
      <c r="M46" s="4">
        <v>0.23140653</v>
      </c>
      <c r="N46" s="4">
        <v>0.23140653</v>
      </c>
      <c r="O46" s="6" t="s">
        <v>27</v>
      </c>
      <c r="P46" s="6" t="s">
        <v>27</v>
      </c>
      <c r="Q46" s="4">
        <v>0.62612215999999998</v>
      </c>
      <c r="R46" s="5">
        <v>0.62612215999999998</v>
      </c>
    </row>
    <row r="47" spans="1:18" ht="18" x14ac:dyDescent="0.25">
      <c r="A47" s="3" t="s">
        <v>64</v>
      </c>
      <c r="B47" s="6" t="s">
        <v>27</v>
      </c>
      <c r="C47" s="6" t="s">
        <v>27</v>
      </c>
      <c r="D47" s="6" t="s">
        <v>27</v>
      </c>
      <c r="E47" s="6" t="s">
        <v>27</v>
      </c>
      <c r="F47" s="6" t="s">
        <v>27</v>
      </c>
      <c r="G47" s="6" t="s">
        <v>27</v>
      </c>
      <c r="H47" s="6" t="s">
        <v>27</v>
      </c>
      <c r="I47" s="6" t="s">
        <v>27</v>
      </c>
      <c r="J47" s="6" t="s">
        <v>27</v>
      </c>
      <c r="K47" s="6" t="s">
        <v>27</v>
      </c>
      <c r="L47" s="6" t="s">
        <v>27</v>
      </c>
      <c r="M47" s="4">
        <v>2.0557267800000001</v>
      </c>
      <c r="N47" s="4">
        <v>2.0557267800000001</v>
      </c>
      <c r="O47" s="4">
        <v>2.0557264399999999</v>
      </c>
      <c r="P47" s="4">
        <v>2.0557264399999999</v>
      </c>
      <c r="Q47" s="6" t="s">
        <v>27</v>
      </c>
      <c r="R47" s="7" t="s">
        <v>27</v>
      </c>
    </row>
    <row r="48" spans="1:18" ht="18" x14ac:dyDescent="0.25">
      <c r="A48" s="3" t="s">
        <v>65</v>
      </c>
      <c r="B48" s="4">
        <v>0.70499999999999996</v>
      </c>
      <c r="C48" s="4">
        <v>3.0633563800000001</v>
      </c>
      <c r="D48" s="4">
        <v>2.3612600800000001</v>
      </c>
      <c r="E48" s="4">
        <v>0.97484769999999998</v>
      </c>
      <c r="F48" s="4">
        <v>-1.3864123800000001</v>
      </c>
      <c r="G48" s="6" t="s">
        <v>27</v>
      </c>
      <c r="H48" s="4">
        <v>-2.3612600800000001</v>
      </c>
      <c r="I48" s="6" t="s">
        <v>27</v>
      </c>
      <c r="J48" s="4">
        <v>-2.3612600800000001</v>
      </c>
      <c r="K48" s="6" t="s">
        <v>27</v>
      </c>
      <c r="L48" s="4">
        <v>-2.3612600800000001</v>
      </c>
      <c r="M48" s="6" t="s">
        <v>27</v>
      </c>
      <c r="N48" s="4">
        <v>-2.3612600800000001</v>
      </c>
      <c r="O48" s="6" t="s">
        <v>27</v>
      </c>
      <c r="P48" s="4">
        <v>-2.3612600800000001</v>
      </c>
      <c r="Q48" s="6" t="s">
        <v>27</v>
      </c>
      <c r="R48" s="5">
        <v>-2.3612600800000001</v>
      </c>
    </row>
    <row r="49" spans="1:18" ht="18" x14ac:dyDescent="0.25">
      <c r="A49" s="3" t="s">
        <v>66</v>
      </c>
      <c r="B49" s="4">
        <v>1.387</v>
      </c>
      <c r="C49" s="4">
        <v>0.24976735</v>
      </c>
      <c r="D49" s="4">
        <v>0.95698645999999998</v>
      </c>
      <c r="E49" s="4">
        <v>0.31370757999999999</v>
      </c>
      <c r="F49" s="4">
        <v>-0.64327888</v>
      </c>
      <c r="G49" s="4">
        <v>1.1901387299999999</v>
      </c>
      <c r="H49" s="4">
        <v>0.23315226999999999</v>
      </c>
      <c r="I49" s="4">
        <v>1.6152809400000001</v>
      </c>
      <c r="J49" s="4">
        <v>0.65829448000000002</v>
      </c>
      <c r="K49" s="4">
        <v>1.5354348</v>
      </c>
      <c r="L49" s="4">
        <v>0.57844834000000001</v>
      </c>
      <c r="M49" s="4">
        <v>1.5211265</v>
      </c>
      <c r="N49" s="4">
        <v>0.56414003999999995</v>
      </c>
      <c r="O49" s="4">
        <v>0.92496073999999995</v>
      </c>
      <c r="P49" s="4">
        <v>-3.2025720000000001E-2</v>
      </c>
      <c r="Q49" s="4">
        <v>1.61305952</v>
      </c>
      <c r="R49" s="5">
        <v>0.65607305999999999</v>
      </c>
    </row>
    <row r="50" spans="1:18" ht="18" x14ac:dyDescent="0.25">
      <c r="A50" s="3" t="s">
        <v>67</v>
      </c>
      <c r="B50" s="4">
        <v>1.2470000000000001</v>
      </c>
      <c r="C50" s="6" t="s">
        <v>27</v>
      </c>
      <c r="D50" s="4">
        <v>0.95698645999999998</v>
      </c>
      <c r="E50" s="4">
        <v>1.1869464000000001</v>
      </c>
      <c r="F50" s="4">
        <v>0.22995994</v>
      </c>
      <c r="G50" s="4">
        <v>1.9601936900000001</v>
      </c>
      <c r="H50" s="4">
        <v>1.0032072299999999</v>
      </c>
      <c r="I50" s="6" t="s">
        <v>27</v>
      </c>
      <c r="J50" s="4">
        <v>-0.95698645999999998</v>
      </c>
      <c r="K50" s="4">
        <v>4.4488239999999998E-2</v>
      </c>
      <c r="L50" s="4">
        <v>-0.91249822000000003</v>
      </c>
      <c r="M50" s="4">
        <v>1.8786322200000001</v>
      </c>
      <c r="N50" s="4">
        <v>0.92164575999999998</v>
      </c>
      <c r="O50" s="4">
        <v>1.87863191</v>
      </c>
      <c r="P50" s="4">
        <v>0.92164544999999998</v>
      </c>
      <c r="Q50" s="6" t="s">
        <v>27</v>
      </c>
      <c r="R50" s="5">
        <v>-0.95698645999999998</v>
      </c>
    </row>
    <row r="51" spans="1:18" ht="18" x14ac:dyDescent="0.25">
      <c r="A51" s="3" t="s">
        <v>68</v>
      </c>
      <c r="B51" s="4">
        <v>0.92100000000000004</v>
      </c>
      <c r="C51" s="4">
        <v>0.91490545999999995</v>
      </c>
      <c r="D51" s="4">
        <v>0.76152768999999998</v>
      </c>
      <c r="E51" s="4">
        <v>0.38960441000000001</v>
      </c>
      <c r="F51" s="4">
        <v>-0.37192328000000002</v>
      </c>
      <c r="G51" s="6" t="s">
        <v>27</v>
      </c>
      <c r="H51" s="4">
        <v>-0.76152768999999998</v>
      </c>
      <c r="I51" s="6" t="s">
        <v>27</v>
      </c>
      <c r="J51" s="4">
        <v>-0.76152768999999998</v>
      </c>
      <c r="K51" s="6" t="s">
        <v>27</v>
      </c>
      <c r="L51" s="4">
        <v>-0.76152768999999998</v>
      </c>
      <c r="M51" s="6" t="s">
        <v>27</v>
      </c>
      <c r="N51" s="4">
        <v>-0.76152768999999998</v>
      </c>
      <c r="O51" s="6" t="s">
        <v>27</v>
      </c>
      <c r="P51" s="4">
        <v>-0.76152768999999998</v>
      </c>
      <c r="Q51" s="6" t="s">
        <v>27</v>
      </c>
      <c r="R51" s="5">
        <v>-0.76152768999999998</v>
      </c>
    </row>
    <row r="52" spans="1:18" ht="18" x14ac:dyDescent="0.25">
      <c r="A52" s="3" t="s">
        <v>69</v>
      </c>
      <c r="B52" s="4">
        <v>0.95299999999999996</v>
      </c>
      <c r="C52" s="6" t="s">
        <v>27</v>
      </c>
      <c r="D52" s="6" t="s">
        <v>27</v>
      </c>
      <c r="E52" s="4">
        <v>0.17247235</v>
      </c>
      <c r="F52" s="4">
        <v>0.17247235</v>
      </c>
      <c r="G52" s="6" t="s">
        <v>27</v>
      </c>
      <c r="H52" s="6" t="s">
        <v>27</v>
      </c>
      <c r="I52" s="6" t="s">
        <v>27</v>
      </c>
      <c r="J52" s="6" t="s">
        <v>27</v>
      </c>
      <c r="K52" s="6" t="s">
        <v>27</v>
      </c>
      <c r="L52" s="6" t="s">
        <v>27</v>
      </c>
      <c r="M52" s="6" t="s">
        <v>27</v>
      </c>
      <c r="N52" s="6" t="s">
        <v>27</v>
      </c>
      <c r="O52" s="6" t="s">
        <v>27</v>
      </c>
      <c r="P52" s="6" t="s">
        <v>27</v>
      </c>
      <c r="Q52" s="6" t="s">
        <v>27</v>
      </c>
      <c r="R52" s="7" t="s">
        <v>27</v>
      </c>
    </row>
    <row r="53" spans="1:18" ht="18" x14ac:dyDescent="0.25">
      <c r="A53" s="3" t="s">
        <v>70</v>
      </c>
      <c r="B53" s="4">
        <v>0.63100000000000001</v>
      </c>
      <c r="C53" s="4">
        <v>2.5442808000000001</v>
      </c>
      <c r="D53" s="4">
        <v>3.3863848600000002</v>
      </c>
      <c r="E53" s="4">
        <v>1.3205108999999999</v>
      </c>
      <c r="F53" s="4">
        <v>-2.0658739599999998</v>
      </c>
      <c r="G53" s="4">
        <v>0.98631016999999999</v>
      </c>
      <c r="H53" s="4">
        <v>-2.4000746899999998</v>
      </c>
      <c r="I53" s="6" t="s">
        <v>27</v>
      </c>
      <c r="J53" s="4">
        <v>-3.3863848600000002</v>
      </c>
      <c r="K53" s="6" t="s">
        <v>27</v>
      </c>
      <c r="L53" s="4">
        <v>-3.3863848600000002</v>
      </c>
      <c r="M53" s="4">
        <v>0.87533640999999995</v>
      </c>
      <c r="N53" s="4">
        <v>-2.5110484500000001</v>
      </c>
      <c r="O53" s="4">
        <v>0.87533627000000003</v>
      </c>
      <c r="P53" s="4">
        <v>-2.5110485900000001</v>
      </c>
      <c r="Q53" s="6" t="s">
        <v>27</v>
      </c>
      <c r="R53" s="5">
        <v>-3.3863848600000002</v>
      </c>
    </row>
    <row r="54" spans="1:18" ht="18" x14ac:dyDescent="0.25">
      <c r="A54" s="3" t="s">
        <v>71</v>
      </c>
      <c r="B54" s="4">
        <v>0.72399999999999998</v>
      </c>
      <c r="C54" s="4">
        <v>1.36681656</v>
      </c>
      <c r="D54" s="4">
        <v>1.4870229500000001</v>
      </c>
      <c r="E54" s="4">
        <v>8.4829999999999999E-5</v>
      </c>
      <c r="F54" s="4">
        <v>-1.48693812</v>
      </c>
      <c r="G54" s="4">
        <v>0.12683108000000001</v>
      </c>
      <c r="H54" s="4">
        <v>-1.36019187</v>
      </c>
      <c r="I54" s="6" t="s">
        <v>27</v>
      </c>
      <c r="J54" s="4">
        <v>-1.4870229500000001</v>
      </c>
      <c r="K54" s="6" t="s">
        <v>27</v>
      </c>
      <c r="L54" s="4">
        <v>-1.4870229500000001</v>
      </c>
      <c r="M54" s="6" t="s">
        <v>27</v>
      </c>
      <c r="N54" s="4">
        <v>-1.4870229500000001</v>
      </c>
      <c r="O54" s="6" t="s">
        <v>27</v>
      </c>
      <c r="P54" s="4">
        <v>-1.4870229500000001</v>
      </c>
      <c r="Q54" s="6" t="s">
        <v>27</v>
      </c>
      <c r="R54" s="5">
        <v>-1.4870229500000001</v>
      </c>
    </row>
    <row r="55" spans="1:18" ht="18" x14ac:dyDescent="0.25">
      <c r="A55" s="3" t="s">
        <v>72</v>
      </c>
      <c r="B55" s="4">
        <v>0.504</v>
      </c>
      <c r="C55" s="6" t="s">
        <v>27</v>
      </c>
      <c r="D55" s="4">
        <v>1.1416738900000001</v>
      </c>
      <c r="E55" s="4">
        <v>1.0916718400000001</v>
      </c>
      <c r="F55" s="4">
        <v>-5.0002049999999999E-2</v>
      </c>
      <c r="G55" s="4">
        <v>1.1002366400000001</v>
      </c>
      <c r="H55" s="4">
        <v>-4.1437250000000002E-2</v>
      </c>
      <c r="I55" s="6" t="s">
        <v>27</v>
      </c>
      <c r="J55" s="4">
        <v>-1.1416738900000001</v>
      </c>
      <c r="K55" s="6" t="s">
        <v>27</v>
      </c>
      <c r="L55" s="4">
        <v>-1.1416738900000001</v>
      </c>
      <c r="M55" s="6" t="s">
        <v>27</v>
      </c>
      <c r="N55" s="4">
        <v>-1.1416738900000001</v>
      </c>
      <c r="O55" s="6" t="s">
        <v>27</v>
      </c>
      <c r="P55" s="4">
        <v>-1.1416738900000001</v>
      </c>
      <c r="Q55" s="6" t="s">
        <v>27</v>
      </c>
      <c r="R55" s="5">
        <v>-1.1416738900000001</v>
      </c>
    </row>
    <row r="56" spans="1:18" ht="18" x14ac:dyDescent="0.25">
      <c r="A56" s="3" t="s">
        <v>73</v>
      </c>
      <c r="B56" s="4">
        <v>1.1160000000000001</v>
      </c>
      <c r="C56" s="4">
        <v>0.30384604999999998</v>
      </c>
      <c r="D56" s="4">
        <v>0.75329780000000002</v>
      </c>
      <c r="E56" s="6" t="s">
        <v>27</v>
      </c>
      <c r="F56" s="4">
        <v>-0.75329780000000002</v>
      </c>
      <c r="G56" s="4">
        <v>0.42713731999999999</v>
      </c>
      <c r="H56" s="4">
        <v>-0.32616047999999997</v>
      </c>
      <c r="I56" s="6" t="s">
        <v>27</v>
      </c>
      <c r="J56" s="4">
        <v>-0.75329780000000002</v>
      </c>
      <c r="K56" s="6" t="s">
        <v>27</v>
      </c>
      <c r="L56" s="4">
        <v>-0.75329780000000002</v>
      </c>
      <c r="M56" s="6" t="s">
        <v>27</v>
      </c>
      <c r="N56" s="4">
        <v>-0.75329780000000002</v>
      </c>
      <c r="O56" s="6" t="s">
        <v>27</v>
      </c>
      <c r="P56" s="4">
        <v>-0.75329780000000002</v>
      </c>
      <c r="Q56" s="6" t="s">
        <v>27</v>
      </c>
      <c r="R56" s="5">
        <v>-0.75329780000000002</v>
      </c>
    </row>
    <row r="57" spans="1:18" ht="18" x14ac:dyDescent="0.25">
      <c r="A57" s="3" t="s">
        <v>74</v>
      </c>
      <c r="B57" s="4">
        <v>1.198</v>
      </c>
      <c r="C57" s="4">
        <v>1.93331162</v>
      </c>
      <c r="D57" s="4">
        <v>2.3822564900000001</v>
      </c>
      <c r="E57" s="4">
        <v>1.49617771</v>
      </c>
      <c r="F57" s="4">
        <v>-0.88607877999999995</v>
      </c>
      <c r="G57" s="4">
        <v>1.47992225</v>
      </c>
      <c r="H57" s="4">
        <v>-0.90233423999999995</v>
      </c>
      <c r="I57" s="4">
        <v>2.3142932900000002</v>
      </c>
      <c r="J57" s="4">
        <v>-6.7963200000000001E-2</v>
      </c>
      <c r="K57" s="4">
        <v>1.5616815399999999</v>
      </c>
      <c r="L57" s="4">
        <v>-0.82057495000000003</v>
      </c>
      <c r="M57" s="4">
        <v>1.9906884</v>
      </c>
      <c r="N57" s="4">
        <v>-0.39156808999999998</v>
      </c>
      <c r="O57" s="4">
        <v>1.1365321100000001</v>
      </c>
      <c r="P57" s="4">
        <v>-1.24572438</v>
      </c>
      <c r="Q57" s="4">
        <v>2.3111105599999999</v>
      </c>
      <c r="R57" s="5">
        <v>-7.1145929999999996E-2</v>
      </c>
    </row>
    <row r="58" spans="1:18" ht="18" x14ac:dyDescent="0.25">
      <c r="A58" s="3" t="s">
        <v>75</v>
      </c>
      <c r="B58" s="4">
        <v>1.554</v>
      </c>
      <c r="C58" s="4">
        <v>0.18405652</v>
      </c>
      <c r="D58" s="6" t="s">
        <v>27</v>
      </c>
      <c r="E58" s="6" t="s">
        <v>27</v>
      </c>
      <c r="F58" s="6" t="s">
        <v>27</v>
      </c>
      <c r="G58" s="4">
        <v>0.91738677000000002</v>
      </c>
      <c r="H58" s="4">
        <v>0.91738677000000002</v>
      </c>
      <c r="I58" s="6" t="s">
        <v>27</v>
      </c>
      <c r="J58" s="6" t="s">
        <v>27</v>
      </c>
      <c r="K58" s="4">
        <v>1.3838598200000001</v>
      </c>
      <c r="L58" s="4">
        <v>1.3838598200000001</v>
      </c>
      <c r="M58" s="6" t="s">
        <v>27</v>
      </c>
      <c r="N58" s="6" t="s">
        <v>27</v>
      </c>
      <c r="O58" s="6" t="s">
        <v>27</v>
      </c>
      <c r="P58" s="6" t="s">
        <v>27</v>
      </c>
      <c r="Q58" s="6" t="s">
        <v>27</v>
      </c>
      <c r="R58" s="7" t="s">
        <v>27</v>
      </c>
    </row>
    <row r="59" spans="1:18" ht="18" x14ac:dyDescent="0.25">
      <c r="A59" s="3" t="s">
        <v>76</v>
      </c>
      <c r="B59" s="4">
        <v>0.623</v>
      </c>
      <c r="C59" s="4">
        <v>2.9772071800000002</v>
      </c>
      <c r="D59" s="6" t="s">
        <v>27</v>
      </c>
      <c r="E59" s="4">
        <v>6.6652680000000006E-2</v>
      </c>
      <c r="F59" s="4">
        <v>6.6652680000000006E-2</v>
      </c>
      <c r="G59" s="6" t="s">
        <v>27</v>
      </c>
      <c r="H59" s="6" t="s">
        <v>27</v>
      </c>
      <c r="I59" s="6" t="s">
        <v>27</v>
      </c>
      <c r="J59" s="6" t="s">
        <v>27</v>
      </c>
      <c r="K59" s="6" t="s">
        <v>27</v>
      </c>
      <c r="L59" s="6" t="s">
        <v>27</v>
      </c>
      <c r="M59" s="6" t="s">
        <v>27</v>
      </c>
      <c r="N59" s="6" t="s">
        <v>27</v>
      </c>
      <c r="O59" s="6" t="s">
        <v>27</v>
      </c>
      <c r="P59" s="6" t="s">
        <v>27</v>
      </c>
      <c r="Q59" s="6" t="s">
        <v>27</v>
      </c>
      <c r="R59" s="7" t="s">
        <v>27</v>
      </c>
    </row>
    <row r="60" spans="1:18" ht="18" x14ac:dyDescent="0.25">
      <c r="A60" s="3" t="s">
        <v>77</v>
      </c>
      <c r="B60" s="4">
        <v>1.5609999999999999</v>
      </c>
      <c r="C60" s="4">
        <v>0.31519733</v>
      </c>
      <c r="D60" s="6" t="s">
        <v>27</v>
      </c>
      <c r="E60" s="4">
        <v>0.52755127000000002</v>
      </c>
      <c r="F60" s="4">
        <v>0.52755127000000002</v>
      </c>
      <c r="G60" s="6" t="s">
        <v>27</v>
      </c>
      <c r="H60" s="6" t="s">
        <v>27</v>
      </c>
      <c r="I60" s="6" t="s">
        <v>27</v>
      </c>
      <c r="J60" s="6" t="s">
        <v>27</v>
      </c>
      <c r="K60" s="6" t="s">
        <v>27</v>
      </c>
      <c r="L60" s="6" t="s">
        <v>27</v>
      </c>
      <c r="M60" s="6" t="s">
        <v>27</v>
      </c>
      <c r="N60" s="6" t="s">
        <v>27</v>
      </c>
      <c r="O60" s="6" t="s">
        <v>27</v>
      </c>
      <c r="P60" s="6" t="s">
        <v>27</v>
      </c>
      <c r="Q60" s="6" t="s">
        <v>27</v>
      </c>
      <c r="R60" s="7" t="s">
        <v>27</v>
      </c>
    </row>
    <row r="61" spans="1:18" ht="18" x14ac:dyDescent="0.25">
      <c r="A61" s="3" t="s">
        <v>78</v>
      </c>
      <c r="B61" s="4">
        <v>1.0469999999999999</v>
      </c>
      <c r="C61" s="4">
        <v>0.53961384000000001</v>
      </c>
      <c r="D61" s="4">
        <v>1.5244032199999999</v>
      </c>
      <c r="E61" s="6" t="s">
        <v>27</v>
      </c>
      <c r="F61" s="4">
        <v>-1.5244032199999999</v>
      </c>
      <c r="G61" s="6" t="s">
        <v>27</v>
      </c>
      <c r="H61" s="4">
        <v>-1.5244032199999999</v>
      </c>
      <c r="I61" s="6" t="s">
        <v>27</v>
      </c>
      <c r="J61" s="4">
        <v>-1.5244032199999999</v>
      </c>
      <c r="K61" s="6" t="s">
        <v>27</v>
      </c>
      <c r="L61" s="4">
        <v>-1.5244032199999999</v>
      </c>
      <c r="M61" s="6" t="s">
        <v>27</v>
      </c>
      <c r="N61" s="4">
        <v>-1.5244032199999999</v>
      </c>
      <c r="O61" s="6" t="s">
        <v>27</v>
      </c>
      <c r="P61" s="4">
        <v>-1.5244032199999999</v>
      </c>
      <c r="Q61" s="6" t="s">
        <v>27</v>
      </c>
      <c r="R61" s="5">
        <v>-1.5244032199999999</v>
      </c>
    </row>
    <row r="62" spans="1:18" ht="18" x14ac:dyDescent="0.25">
      <c r="A62" s="3" t="s">
        <v>8</v>
      </c>
      <c r="B62" s="6" t="s">
        <v>27</v>
      </c>
      <c r="C62" s="6" t="s">
        <v>27</v>
      </c>
      <c r="D62" s="6" t="s">
        <v>27</v>
      </c>
      <c r="E62" s="6" t="s">
        <v>27</v>
      </c>
      <c r="F62" s="6" t="s">
        <v>27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27</v>
      </c>
      <c r="L62" s="6" t="s">
        <v>27</v>
      </c>
      <c r="M62" s="6" t="s">
        <v>27</v>
      </c>
      <c r="N62" s="6" t="s">
        <v>27</v>
      </c>
      <c r="O62" s="4">
        <v>32.161205109999997</v>
      </c>
      <c r="P62" s="4">
        <v>32.161205109999997</v>
      </c>
      <c r="Q62" s="6" t="s">
        <v>27</v>
      </c>
      <c r="R62" s="7" t="s">
        <v>27</v>
      </c>
    </row>
    <row r="63" spans="1:18" ht="18" x14ac:dyDescent="0.25">
      <c r="A63" s="3" t="s">
        <v>16</v>
      </c>
      <c r="B63" s="6" t="s">
        <v>27</v>
      </c>
      <c r="C63" s="6" t="s">
        <v>27</v>
      </c>
      <c r="D63" s="6" t="s">
        <v>27</v>
      </c>
      <c r="E63" s="6" t="s">
        <v>27</v>
      </c>
      <c r="F63" s="6" t="s">
        <v>27</v>
      </c>
      <c r="G63" s="6" t="s">
        <v>27</v>
      </c>
      <c r="H63" s="6" t="s">
        <v>27</v>
      </c>
      <c r="I63" s="6" t="s">
        <v>27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4">
        <v>4.7532009000000004</v>
      </c>
      <c r="P63" s="4">
        <v>4.7532009000000004</v>
      </c>
      <c r="Q63" s="6" t="s">
        <v>27</v>
      </c>
      <c r="R63" s="7" t="s">
        <v>27</v>
      </c>
    </row>
    <row r="64" spans="1:18" ht="18" x14ac:dyDescent="0.25">
      <c r="A64" s="3" t="s">
        <v>80</v>
      </c>
      <c r="B64" s="6" t="s">
        <v>27</v>
      </c>
      <c r="C64" s="6" t="s">
        <v>27</v>
      </c>
      <c r="D64" s="6" t="s">
        <v>27</v>
      </c>
      <c r="E64" s="6" t="s">
        <v>27</v>
      </c>
      <c r="F64" s="6" t="s">
        <v>27</v>
      </c>
      <c r="G64" s="6" t="s">
        <v>27</v>
      </c>
      <c r="H64" s="6" t="s">
        <v>27</v>
      </c>
      <c r="I64" s="6" t="s">
        <v>27</v>
      </c>
      <c r="J64" s="6" t="s">
        <v>27</v>
      </c>
      <c r="K64" s="6" t="s">
        <v>27</v>
      </c>
      <c r="L64" s="6" t="s">
        <v>27</v>
      </c>
      <c r="M64" s="6" t="s">
        <v>27</v>
      </c>
      <c r="N64" s="6" t="s">
        <v>27</v>
      </c>
      <c r="O64" s="6" t="s">
        <v>27</v>
      </c>
      <c r="P64" s="6" t="s">
        <v>27</v>
      </c>
      <c r="Q64" s="6" t="s">
        <v>27</v>
      </c>
      <c r="R64" s="7" t="s">
        <v>27</v>
      </c>
    </row>
    <row r="65" spans="1:18" ht="18" x14ac:dyDescent="0.25">
      <c r="A65" s="8" t="s">
        <v>81</v>
      </c>
      <c r="B65" s="9" t="s">
        <v>27</v>
      </c>
      <c r="C65" s="9" t="s">
        <v>27</v>
      </c>
      <c r="D65" s="10">
        <v>0.42760705999999998</v>
      </c>
      <c r="E65" s="10">
        <v>1.53977257</v>
      </c>
      <c r="F65" s="10">
        <v>1.1121655100000001</v>
      </c>
      <c r="G65" s="10">
        <v>0.6644331</v>
      </c>
      <c r="H65" s="10">
        <v>0.23682603999999999</v>
      </c>
      <c r="I65" s="10">
        <v>5.1102853499999998</v>
      </c>
      <c r="J65" s="10">
        <v>4.6826782900000001</v>
      </c>
      <c r="K65" s="10">
        <v>0.89470225999999997</v>
      </c>
      <c r="L65" s="10">
        <v>0.46709519999999999</v>
      </c>
      <c r="M65" s="10">
        <v>2.36316367</v>
      </c>
      <c r="N65" s="10">
        <v>1.9355566099999999</v>
      </c>
      <c r="O65" s="10">
        <v>0.47052987000000002</v>
      </c>
      <c r="P65" s="10">
        <v>4.2922809999999999E-2</v>
      </c>
      <c r="Q65" s="10">
        <v>5.2407825199999998</v>
      </c>
      <c r="R65" s="11">
        <v>4.8131754600000001</v>
      </c>
    </row>
  </sheetData>
  <pageMargins left="0.7" right="0.7" top="0.75" bottom="0.75" header="0.3" footer="0.3"/>
  <ignoredErrors>
    <ignoredError sqref="A1:R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Stock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Le Minh (AMIR)</dc:creator>
  <cp:lastModifiedBy>Duc Le</cp:lastModifiedBy>
  <dcterms:created xsi:type="dcterms:W3CDTF">2025-11-23T15:03:41Z</dcterms:created>
  <dcterms:modified xsi:type="dcterms:W3CDTF">2025-11-23T15:43:18Z</dcterms:modified>
</cp:coreProperties>
</file>